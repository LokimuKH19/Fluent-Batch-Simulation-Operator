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sys\scenario工具\"/>
    </mc:Choice>
  </mc:AlternateContent>
  <bookViews>
    <workbookView xWindow="0" yWindow="0" windowWidth="17256" windowHeight="5208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B24" i="1" l="1"/>
  <c r="D122" i="2" l="1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I34" i="2" l="1"/>
  <c r="D34" i="2"/>
  <c r="J34" i="2" s="1"/>
  <c r="B34" i="2"/>
  <c r="K34" i="2" s="1"/>
  <c r="I33" i="2"/>
  <c r="E33" i="2"/>
  <c r="D33" i="2"/>
  <c r="J33" i="2" s="1"/>
  <c r="B33" i="2"/>
  <c r="K33" i="2" s="1"/>
  <c r="I32" i="2"/>
  <c r="D32" i="2"/>
  <c r="J32" i="2" s="1"/>
  <c r="B32" i="2"/>
  <c r="K32" i="2" s="1"/>
  <c r="I31" i="2"/>
  <c r="E31" i="2"/>
  <c r="D31" i="2"/>
  <c r="J31" i="2" s="1"/>
  <c r="B31" i="2"/>
  <c r="K31" i="2" s="1"/>
  <c r="I30" i="2"/>
  <c r="D30" i="2"/>
  <c r="J30" i="2" s="1"/>
  <c r="L30" i="2" s="1"/>
  <c r="B30" i="2"/>
  <c r="K30" i="2" s="1"/>
  <c r="I29" i="2"/>
  <c r="E29" i="2"/>
  <c r="D29" i="2"/>
  <c r="J29" i="2" s="1"/>
  <c r="L29" i="2" s="1"/>
  <c r="B29" i="2"/>
  <c r="K29" i="2" s="1"/>
  <c r="I28" i="2"/>
  <c r="D28" i="2"/>
  <c r="J28" i="2" s="1"/>
  <c r="B28" i="2"/>
  <c r="K28" i="2" s="1"/>
  <c r="I27" i="2"/>
  <c r="E27" i="2"/>
  <c r="D27" i="2"/>
  <c r="J27" i="2" s="1"/>
  <c r="L27" i="2" s="1"/>
  <c r="B27" i="2"/>
  <c r="K27" i="2" s="1"/>
  <c r="I26" i="2"/>
  <c r="D26" i="2"/>
  <c r="J26" i="2" s="1"/>
  <c r="B26" i="2"/>
  <c r="K26" i="2" s="1"/>
  <c r="I25" i="2"/>
  <c r="E25" i="2"/>
  <c r="D25" i="2"/>
  <c r="J25" i="2" s="1"/>
  <c r="B25" i="2"/>
  <c r="K25" i="2" s="1"/>
  <c r="I24" i="2"/>
  <c r="D24" i="2"/>
  <c r="J24" i="2" s="1"/>
  <c r="B24" i="2"/>
  <c r="K24" i="2" s="1"/>
  <c r="I23" i="2"/>
  <c r="E23" i="2"/>
  <c r="D23" i="2"/>
  <c r="J23" i="2" s="1"/>
  <c r="B23" i="2"/>
  <c r="K23" i="2" s="1"/>
  <c r="I22" i="2"/>
  <c r="D22" i="2"/>
  <c r="J22" i="2" s="1"/>
  <c r="B22" i="2"/>
  <c r="K22" i="2" s="1"/>
  <c r="I21" i="2"/>
  <c r="E21" i="2"/>
  <c r="D21" i="2"/>
  <c r="J21" i="2" s="1"/>
  <c r="L21" i="2" s="1"/>
  <c r="B21" i="2"/>
  <c r="K21" i="2" s="1"/>
  <c r="I20" i="2"/>
  <c r="D20" i="2"/>
  <c r="J20" i="2" s="1"/>
  <c r="B20" i="2"/>
  <c r="K20" i="2" s="1"/>
  <c r="I19" i="2"/>
  <c r="E19" i="2"/>
  <c r="D19" i="2"/>
  <c r="J19" i="2" s="1"/>
  <c r="B19" i="2"/>
  <c r="K19" i="2" s="1"/>
  <c r="I18" i="2"/>
  <c r="D18" i="2"/>
  <c r="J18" i="2" s="1"/>
  <c r="B18" i="2"/>
  <c r="K18" i="2" s="1"/>
  <c r="I17" i="2"/>
  <c r="E17" i="2"/>
  <c r="D17" i="2"/>
  <c r="J17" i="2" s="1"/>
  <c r="B17" i="2"/>
  <c r="K17" i="2" s="1"/>
  <c r="I16" i="2"/>
  <c r="D16" i="2"/>
  <c r="J16" i="2" s="1"/>
  <c r="B16" i="2"/>
  <c r="K16" i="2" s="1"/>
  <c r="I15" i="2"/>
  <c r="E15" i="2"/>
  <c r="D15" i="2"/>
  <c r="J15" i="2" s="1"/>
  <c r="B15" i="2"/>
  <c r="K15" i="2" s="1"/>
  <c r="I14" i="2"/>
  <c r="D14" i="2"/>
  <c r="J14" i="2" s="1"/>
  <c r="B14" i="2"/>
  <c r="K14" i="2" s="1"/>
  <c r="I13" i="2"/>
  <c r="E13" i="2"/>
  <c r="D13" i="2"/>
  <c r="J13" i="2" s="1"/>
  <c r="B13" i="2"/>
  <c r="K13" i="2" s="1"/>
  <c r="I12" i="2"/>
  <c r="D12" i="2"/>
  <c r="J12" i="2" s="1"/>
  <c r="B12" i="2"/>
  <c r="K12" i="2" s="1"/>
  <c r="I11" i="2"/>
  <c r="E11" i="2"/>
  <c r="D11" i="2"/>
  <c r="J11" i="2" s="1"/>
  <c r="B11" i="2"/>
  <c r="K11" i="2" s="1"/>
  <c r="I10" i="2"/>
  <c r="D10" i="2"/>
  <c r="J10" i="2" s="1"/>
  <c r="B10" i="2"/>
  <c r="K10" i="2" s="1"/>
  <c r="I9" i="2"/>
  <c r="E9" i="2"/>
  <c r="D9" i="2"/>
  <c r="J9" i="2" s="1"/>
  <c r="B9" i="2"/>
  <c r="K9" i="2" s="1"/>
  <c r="I8" i="2"/>
  <c r="D8" i="2"/>
  <c r="J8" i="2" s="1"/>
  <c r="B8" i="2"/>
  <c r="K8" i="2" s="1"/>
  <c r="I7" i="2"/>
  <c r="E7" i="2"/>
  <c r="D7" i="2"/>
  <c r="J7" i="2" s="1"/>
  <c r="B7" i="2"/>
  <c r="K7" i="2" s="1"/>
  <c r="I6" i="2"/>
  <c r="D6" i="2"/>
  <c r="J6" i="2" s="1"/>
  <c r="L6" i="2" s="1"/>
  <c r="B6" i="2"/>
  <c r="K6" i="2" s="1"/>
  <c r="I5" i="2"/>
  <c r="E5" i="2"/>
  <c r="D5" i="2"/>
  <c r="J5" i="2" s="1"/>
  <c r="B5" i="2"/>
  <c r="K5" i="2" s="1"/>
  <c r="I4" i="2"/>
  <c r="D4" i="2"/>
  <c r="J4" i="2" s="1"/>
  <c r="B4" i="2"/>
  <c r="K4" i="2" s="1"/>
  <c r="I3" i="2"/>
  <c r="E3" i="2"/>
  <c r="D3" i="2"/>
  <c r="J3" i="2" s="1"/>
  <c r="B3" i="2"/>
  <c r="K3" i="2" s="1"/>
  <c r="I2" i="2"/>
  <c r="D2" i="2"/>
  <c r="J2" i="2" s="1"/>
  <c r="B2" i="2"/>
  <c r="K2" i="2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I74" i="1" l="1"/>
  <c r="I18" i="1"/>
  <c r="L22" i="2"/>
  <c r="L3" i="2"/>
  <c r="L13" i="2"/>
  <c r="L32" i="2"/>
  <c r="L28" i="2"/>
  <c r="L17" i="2"/>
  <c r="L9" i="2"/>
  <c r="L33" i="2"/>
  <c r="L8" i="2"/>
  <c r="L18" i="2"/>
  <c r="L5" i="2"/>
  <c r="L19" i="2"/>
  <c r="L10" i="2"/>
  <c r="L15" i="2"/>
  <c r="L24" i="2"/>
  <c r="L20" i="2"/>
  <c r="L26" i="2"/>
  <c r="L14" i="2"/>
  <c r="L34" i="2"/>
  <c r="L12" i="2"/>
  <c r="L31" i="2"/>
  <c r="L4" i="2"/>
  <c r="L23" i="2"/>
  <c r="L11" i="2"/>
  <c r="L2" i="2"/>
  <c r="L25" i="2"/>
  <c r="L7" i="2"/>
  <c r="L16" i="2"/>
  <c r="C3" i="2"/>
  <c r="C5" i="2"/>
  <c r="C7" i="2"/>
  <c r="C9" i="2"/>
  <c r="C11" i="2"/>
  <c r="C13" i="2"/>
  <c r="C15" i="2"/>
  <c r="C17" i="2"/>
  <c r="C19" i="2"/>
  <c r="C21" i="2"/>
  <c r="C23" i="2"/>
  <c r="C25" i="2"/>
  <c r="C27" i="2"/>
  <c r="C29" i="2"/>
  <c r="C31" i="2"/>
  <c r="C33" i="2"/>
  <c r="C2" i="2"/>
  <c r="C4" i="2"/>
  <c r="C6" i="2"/>
  <c r="C8" i="2"/>
  <c r="C10" i="2"/>
  <c r="C12" i="2"/>
  <c r="C14" i="2"/>
  <c r="C16" i="2"/>
  <c r="C18" i="2"/>
  <c r="C20" i="2"/>
  <c r="C22" i="2"/>
  <c r="C24" i="2"/>
  <c r="C26" i="2"/>
  <c r="C28" i="2"/>
  <c r="C30" i="2"/>
  <c r="C32" i="2"/>
  <c r="C34" i="2"/>
  <c r="E2" i="2"/>
  <c r="E4" i="2"/>
  <c r="E6" i="2"/>
  <c r="E8" i="2"/>
  <c r="E10" i="2"/>
  <c r="E12" i="2"/>
  <c r="E14" i="2"/>
  <c r="E16" i="2"/>
  <c r="E18" i="2"/>
  <c r="E20" i="2"/>
  <c r="E22" i="2"/>
  <c r="E24" i="2"/>
  <c r="E26" i="2"/>
  <c r="E28" i="2"/>
  <c r="E30" i="2"/>
  <c r="E32" i="2"/>
  <c r="E34" i="2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80" i="1"/>
  <c r="N80" i="1" s="1"/>
  <c r="B81" i="1"/>
  <c r="N81" i="1" s="1"/>
  <c r="B82" i="1"/>
  <c r="N82" i="1" s="1"/>
  <c r="B83" i="1"/>
  <c r="N83" i="1" s="1"/>
  <c r="B84" i="1"/>
  <c r="N84" i="1" s="1"/>
  <c r="B85" i="1"/>
  <c r="N85" i="1" s="1"/>
  <c r="B86" i="1"/>
  <c r="N86" i="1" s="1"/>
  <c r="B87" i="1"/>
  <c r="N87" i="1" s="1"/>
  <c r="B88" i="1"/>
  <c r="N88" i="1" s="1"/>
  <c r="B89" i="1"/>
  <c r="N89" i="1" s="1"/>
  <c r="B79" i="1"/>
  <c r="N79" i="1" s="1"/>
  <c r="B69" i="1"/>
  <c r="N69" i="1" s="1"/>
  <c r="B70" i="1"/>
  <c r="N70" i="1" s="1"/>
  <c r="B71" i="1"/>
  <c r="N71" i="1" s="1"/>
  <c r="B72" i="1"/>
  <c r="N72" i="1" s="1"/>
  <c r="B73" i="1"/>
  <c r="N73" i="1" s="1"/>
  <c r="B74" i="1"/>
  <c r="N74" i="1" s="1"/>
  <c r="B75" i="1"/>
  <c r="N75" i="1" s="1"/>
  <c r="B76" i="1"/>
  <c r="N76" i="1" s="1"/>
  <c r="B77" i="1"/>
  <c r="N77" i="1" s="1"/>
  <c r="B78" i="1"/>
  <c r="N78" i="1" s="1"/>
  <c r="B68" i="1"/>
  <c r="N68" i="1" s="1"/>
  <c r="B58" i="1"/>
  <c r="N58" i="1" s="1"/>
  <c r="B59" i="1"/>
  <c r="N59" i="1" s="1"/>
  <c r="B60" i="1"/>
  <c r="N60" i="1" s="1"/>
  <c r="B61" i="1"/>
  <c r="N61" i="1" s="1"/>
  <c r="B62" i="1"/>
  <c r="N62" i="1" s="1"/>
  <c r="B63" i="1"/>
  <c r="N63" i="1" s="1"/>
  <c r="B64" i="1"/>
  <c r="N64" i="1" s="1"/>
  <c r="B65" i="1"/>
  <c r="N65" i="1" s="1"/>
  <c r="B66" i="1"/>
  <c r="N66" i="1" s="1"/>
  <c r="B67" i="1"/>
  <c r="N67" i="1" s="1"/>
  <c r="B57" i="1"/>
  <c r="N57" i="1" s="1"/>
  <c r="B47" i="1"/>
  <c r="N47" i="1" s="1"/>
  <c r="B48" i="1"/>
  <c r="N48" i="1" s="1"/>
  <c r="B49" i="1"/>
  <c r="N49" i="1" s="1"/>
  <c r="B50" i="1"/>
  <c r="N50" i="1" s="1"/>
  <c r="B51" i="1"/>
  <c r="N51" i="1" s="1"/>
  <c r="B52" i="1"/>
  <c r="N52" i="1" s="1"/>
  <c r="B53" i="1"/>
  <c r="N53" i="1" s="1"/>
  <c r="B54" i="1"/>
  <c r="N54" i="1" s="1"/>
  <c r="B55" i="1"/>
  <c r="N55" i="1" s="1"/>
  <c r="B56" i="1"/>
  <c r="N56" i="1" s="1"/>
  <c r="B46" i="1"/>
  <c r="N46" i="1" s="1"/>
  <c r="B36" i="1"/>
  <c r="N36" i="1" s="1"/>
  <c r="B37" i="1"/>
  <c r="N37" i="1" s="1"/>
  <c r="B38" i="1"/>
  <c r="N38" i="1" s="1"/>
  <c r="B39" i="1"/>
  <c r="N39" i="1" s="1"/>
  <c r="B40" i="1"/>
  <c r="N40" i="1" s="1"/>
  <c r="B41" i="1"/>
  <c r="N41" i="1" s="1"/>
  <c r="B42" i="1"/>
  <c r="N42" i="1" s="1"/>
  <c r="B43" i="1"/>
  <c r="N43" i="1" s="1"/>
  <c r="B44" i="1"/>
  <c r="N44" i="1" s="1"/>
  <c r="B45" i="1"/>
  <c r="N45" i="1" s="1"/>
  <c r="B35" i="1"/>
  <c r="N35" i="1" s="1"/>
  <c r="B25" i="1"/>
  <c r="N25" i="1" s="1"/>
  <c r="B26" i="1"/>
  <c r="N26" i="1" s="1"/>
  <c r="B27" i="1"/>
  <c r="N27" i="1" s="1"/>
  <c r="B28" i="1"/>
  <c r="N28" i="1" s="1"/>
  <c r="B29" i="1"/>
  <c r="N29" i="1" s="1"/>
  <c r="B30" i="1"/>
  <c r="N30" i="1" s="1"/>
  <c r="B31" i="1"/>
  <c r="N31" i="1" s="1"/>
  <c r="B32" i="1"/>
  <c r="N32" i="1" s="1"/>
  <c r="B33" i="1"/>
  <c r="N33" i="1" s="1"/>
  <c r="B34" i="1"/>
  <c r="N34" i="1" s="1"/>
  <c r="N24" i="1"/>
  <c r="B14" i="1"/>
  <c r="N14" i="1" s="1"/>
  <c r="B15" i="1"/>
  <c r="N15" i="1" s="1"/>
  <c r="B16" i="1"/>
  <c r="N16" i="1" s="1"/>
  <c r="B17" i="1"/>
  <c r="N17" i="1" s="1"/>
  <c r="B18" i="1"/>
  <c r="N18" i="1" s="1"/>
  <c r="B19" i="1"/>
  <c r="N19" i="1" s="1"/>
  <c r="B20" i="1"/>
  <c r="N20" i="1" s="1"/>
  <c r="B21" i="1"/>
  <c r="N21" i="1" s="1"/>
  <c r="B22" i="1"/>
  <c r="N22" i="1" s="1"/>
  <c r="B23" i="1"/>
  <c r="N23" i="1" s="1"/>
  <c r="B13" i="1"/>
  <c r="N13" i="1" s="1"/>
  <c r="B3" i="1"/>
  <c r="N3" i="1" s="1"/>
  <c r="B4" i="1"/>
  <c r="N4" i="1" s="1"/>
  <c r="B5" i="1"/>
  <c r="N5" i="1" s="1"/>
  <c r="B6" i="1"/>
  <c r="N6" i="1" s="1"/>
  <c r="B7" i="1"/>
  <c r="N7" i="1" s="1"/>
  <c r="B8" i="1"/>
  <c r="N8" i="1" s="1"/>
  <c r="B9" i="1"/>
  <c r="N9" i="1" s="1"/>
  <c r="B10" i="1"/>
  <c r="N10" i="1" s="1"/>
  <c r="B11" i="1"/>
  <c r="N11" i="1" s="1"/>
  <c r="B12" i="1"/>
  <c r="N12" i="1" s="1"/>
  <c r="B2" i="1"/>
  <c r="N2" i="1" s="1"/>
  <c r="I35" i="1" l="1"/>
  <c r="I68" i="1"/>
  <c r="I57" i="1"/>
  <c r="I88" i="1"/>
  <c r="I23" i="1"/>
  <c r="I63" i="1"/>
  <c r="I34" i="1"/>
  <c r="I5" i="1"/>
  <c r="I39" i="1"/>
  <c r="I29" i="1"/>
  <c r="I79" i="1"/>
  <c r="I50" i="1"/>
  <c r="I21" i="1"/>
  <c r="I55" i="1"/>
  <c r="I77" i="1"/>
  <c r="I47" i="1"/>
  <c r="I80" i="1"/>
  <c r="I66" i="1"/>
  <c r="I37" i="1"/>
  <c r="I71" i="1"/>
  <c r="I11" i="1"/>
  <c r="I16" i="1"/>
  <c r="I82" i="1"/>
  <c r="I53" i="1"/>
  <c r="I87" i="1"/>
  <c r="I27" i="1"/>
  <c r="I32" i="1"/>
  <c r="I69" i="1"/>
  <c r="I41" i="1"/>
  <c r="I43" i="1"/>
  <c r="I48" i="1"/>
  <c r="I51" i="1"/>
  <c r="I85" i="1"/>
  <c r="I8" i="1"/>
  <c r="I59" i="1"/>
  <c r="I17" i="1"/>
  <c r="I83" i="1"/>
  <c r="I56" i="1"/>
  <c r="I24" i="1"/>
  <c r="I75" i="1"/>
  <c r="I14" i="1"/>
  <c r="I33" i="1"/>
  <c r="I89" i="1"/>
  <c r="I6" i="1"/>
  <c r="I40" i="1"/>
  <c r="I76" i="1"/>
  <c r="I30" i="1"/>
  <c r="I49" i="1"/>
  <c r="I3" i="1"/>
  <c r="I22" i="1"/>
  <c r="I72" i="1"/>
  <c r="I13" i="1"/>
  <c r="I46" i="1"/>
  <c r="I65" i="1"/>
  <c r="I4" i="1"/>
  <c r="I38" i="1"/>
  <c r="I9" i="1"/>
  <c r="I61" i="1"/>
  <c r="I62" i="1"/>
  <c r="I81" i="1"/>
  <c r="I20" i="1"/>
  <c r="I54" i="1"/>
  <c r="I25" i="1"/>
  <c r="I12" i="1"/>
  <c r="I78" i="1"/>
  <c r="I19" i="1"/>
  <c r="I36" i="1"/>
  <c r="I70" i="1"/>
  <c r="I10" i="1"/>
  <c r="I28" i="1"/>
  <c r="I64" i="1"/>
  <c r="I67" i="1"/>
  <c r="I52" i="1"/>
  <c r="I86" i="1"/>
  <c r="I26" i="1"/>
  <c r="I44" i="1"/>
  <c r="I15" i="1"/>
  <c r="I73" i="1"/>
  <c r="I42" i="1"/>
  <c r="I60" i="1"/>
  <c r="I31" i="1"/>
  <c r="I2" i="1"/>
  <c r="I84" i="1"/>
  <c r="I7" i="1"/>
  <c r="I58" i="1"/>
  <c r="I45" i="1"/>
  <c r="M73" i="1"/>
  <c r="E73" i="1"/>
  <c r="H73" i="1" s="1"/>
  <c r="M26" i="1"/>
  <c r="O26" i="1" s="1"/>
  <c r="E26" i="1"/>
  <c r="H26" i="1" s="1"/>
  <c r="M72" i="1"/>
  <c r="O72" i="1" s="1"/>
  <c r="E72" i="1"/>
  <c r="H72" i="1" s="1"/>
  <c r="M57" i="1"/>
  <c r="O57" i="1" s="1"/>
  <c r="E57" i="1"/>
  <c r="H57" i="1" s="1"/>
  <c r="M12" i="1"/>
  <c r="O12" i="1" s="1"/>
  <c r="E12" i="1"/>
  <c r="H12" i="1" s="1"/>
  <c r="M28" i="1"/>
  <c r="E28" i="1"/>
  <c r="H28" i="1" s="1"/>
  <c r="M44" i="1"/>
  <c r="O44" i="1" s="1"/>
  <c r="E44" i="1"/>
  <c r="H44" i="1" s="1"/>
  <c r="M60" i="1"/>
  <c r="O60" i="1" s="1"/>
  <c r="E60" i="1"/>
  <c r="H60" i="1" s="1"/>
  <c r="M76" i="1"/>
  <c r="E76" i="1"/>
  <c r="H76" i="1" s="1"/>
  <c r="M40" i="1"/>
  <c r="O40" i="1" s="1"/>
  <c r="E40" i="1"/>
  <c r="H40" i="1" s="1"/>
  <c r="M13" i="1"/>
  <c r="O13" i="1" s="1"/>
  <c r="E13" i="1"/>
  <c r="H13" i="1" s="1"/>
  <c r="M29" i="1"/>
  <c r="O29" i="1" s="1"/>
  <c r="E29" i="1"/>
  <c r="H29" i="1" s="1"/>
  <c r="M45" i="1"/>
  <c r="O45" i="1" s="1"/>
  <c r="E45" i="1"/>
  <c r="H45" i="1" s="1"/>
  <c r="M61" i="1"/>
  <c r="E61" i="1"/>
  <c r="H61" i="1" s="1"/>
  <c r="M77" i="1"/>
  <c r="O77" i="1" s="1"/>
  <c r="E77" i="1"/>
  <c r="H77" i="1" s="1"/>
  <c r="M9" i="1"/>
  <c r="O9" i="1" s="1"/>
  <c r="E9" i="1"/>
  <c r="H9" i="1" s="1"/>
  <c r="M30" i="1"/>
  <c r="E30" i="1"/>
  <c r="H30" i="1" s="1"/>
  <c r="M62" i="1"/>
  <c r="O62" i="1" s="1"/>
  <c r="E62" i="1"/>
  <c r="H62" i="1" s="1"/>
  <c r="M15" i="1"/>
  <c r="O15" i="1" s="1"/>
  <c r="E15" i="1"/>
  <c r="H15" i="1" s="1"/>
  <c r="M31" i="1"/>
  <c r="O31" i="1" s="1"/>
  <c r="E31" i="1"/>
  <c r="H31" i="1" s="1"/>
  <c r="M47" i="1"/>
  <c r="O47" i="1" s="1"/>
  <c r="E47" i="1"/>
  <c r="H47" i="1" s="1"/>
  <c r="M63" i="1"/>
  <c r="O63" i="1" s="1"/>
  <c r="E63" i="1"/>
  <c r="H63" i="1" s="1"/>
  <c r="M79" i="1"/>
  <c r="O79" i="1" s="1"/>
  <c r="E79" i="1"/>
  <c r="H79" i="1" s="1"/>
  <c r="M58" i="1"/>
  <c r="O58" i="1" s="1"/>
  <c r="E58" i="1"/>
  <c r="H58" i="1" s="1"/>
  <c r="M27" i="1"/>
  <c r="E27" i="1"/>
  <c r="H27" i="1" s="1"/>
  <c r="M78" i="1"/>
  <c r="O78" i="1" s="1"/>
  <c r="E78" i="1"/>
  <c r="H78" i="1" s="1"/>
  <c r="M16" i="1"/>
  <c r="O16" i="1" s="1"/>
  <c r="E16" i="1"/>
  <c r="H16" i="1" s="1"/>
  <c r="M32" i="1"/>
  <c r="O32" i="1" s="1"/>
  <c r="E32" i="1"/>
  <c r="H32" i="1" s="1"/>
  <c r="M48" i="1"/>
  <c r="O48" i="1" s="1"/>
  <c r="E48" i="1"/>
  <c r="H48" i="1" s="1"/>
  <c r="M64" i="1"/>
  <c r="O64" i="1" s="1"/>
  <c r="E64" i="1"/>
  <c r="H64" i="1" s="1"/>
  <c r="M80" i="1"/>
  <c r="O80" i="1" s="1"/>
  <c r="E80" i="1"/>
  <c r="H80" i="1" s="1"/>
  <c r="M24" i="1"/>
  <c r="O24" i="1" s="1"/>
  <c r="E24" i="1"/>
  <c r="H24" i="1" s="1"/>
  <c r="M42" i="1"/>
  <c r="E42" i="1"/>
  <c r="H42" i="1" s="1"/>
  <c r="M11" i="1"/>
  <c r="O11" i="1" s="1"/>
  <c r="E11" i="1"/>
  <c r="H11" i="1" s="1"/>
  <c r="M43" i="1"/>
  <c r="O43" i="1" s="1"/>
  <c r="E43" i="1"/>
  <c r="H43" i="1" s="1"/>
  <c r="M17" i="1"/>
  <c r="O17" i="1" s="1"/>
  <c r="E17" i="1"/>
  <c r="H17" i="1" s="1"/>
  <c r="M33" i="1"/>
  <c r="O33" i="1" s="1"/>
  <c r="E33" i="1"/>
  <c r="H33" i="1" s="1"/>
  <c r="M49" i="1"/>
  <c r="O49" i="1" s="1"/>
  <c r="E49" i="1"/>
  <c r="H49" i="1" s="1"/>
  <c r="M65" i="1"/>
  <c r="O65" i="1" s="1"/>
  <c r="E65" i="1"/>
  <c r="H65" i="1" s="1"/>
  <c r="M81" i="1"/>
  <c r="O81" i="1" s="1"/>
  <c r="E81" i="1"/>
  <c r="H81" i="1" s="1"/>
  <c r="M89" i="1"/>
  <c r="E89" i="1"/>
  <c r="H89" i="1" s="1"/>
  <c r="M10" i="1"/>
  <c r="O10" i="1" s="1"/>
  <c r="E10" i="1"/>
  <c r="H10" i="1" s="1"/>
  <c r="M75" i="1"/>
  <c r="O75" i="1" s="1"/>
  <c r="E75" i="1"/>
  <c r="H75" i="1" s="1"/>
  <c r="M2" i="1"/>
  <c r="O2" i="1" s="1"/>
  <c r="E2" i="1"/>
  <c r="H2" i="1" s="1"/>
  <c r="M18" i="1"/>
  <c r="O18" i="1" s="1"/>
  <c r="E18" i="1"/>
  <c r="H18" i="1" s="1"/>
  <c r="M34" i="1"/>
  <c r="O34" i="1" s="1"/>
  <c r="E34" i="1"/>
  <c r="H34" i="1" s="1"/>
  <c r="M50" i="1"/>
  <c r="O50" i="1" s="1"/>
  <c r="E50" i="1"/>
  <c r="H50" i="1" s="1"/>
  <c r="M66" i="1"/>
  <c r="O66" i="1" s="1"/>
  <c r="E66" i="1"/>
  <c r="H66" i="1" s="1"/>
  <c r="M82" i="1"/>
  <c r="E82" i="1"/>
  <c r="H82" i="1" s="1"/>
  <c r="M25" i="1"/>
  <c r="O25" i="1" s="1"/>
  <c r="E25" i="1"/>
  <c r="H25" i="1" s="1"/>
  <c r="M74" i="1"/>
  <c r="O74" i="1" s="1"/>
  <c r="E74" i="1"/>
  <c r="H74" i="1" s="1"/>
  <c r="M3" i="1"/>
  <c r="O3" i="1" s="1"/>
  <c r="E3" i="1"/>
  <c r="H3" i="1" s="1"/>
  <c r="M51" i="1"/>
  <c r="O51" i="1" s="1"/>
  <c r="E51" i="1"/>
  <c r="H51" i="1" s="1"/>
  <c r="M67" i="1"/>
  <c r="O67" i="1" s="1"/>
  <c r="E67" i="1"/>
  <c r="H67" i="1" s="1"/>
  <c r="M83" i="1"/>
  <c r="O83" i="1" s="1"/>
  <c r="E83" i="1"/>
  <c r="H83" i="1" s="1"/>
  <c r="M88" i="1"/>
  <c r="O88" i="1" s="1"/>
  <c r="E88" i="1"/>
  <c r="H88" i="1" s="1"/>
  <c r="M14" i="1"/>
  <c r="E14" i="1"/>
  <c r="H14" i="1" s="1"/>
  <c r="M35" i="1"/>
  <c r="O35" i="1" s="1"/>
  <c r="E35" i="1"/>
  <c r="H35" i="1" s="1"/>
  <c r="M20" i="1"/>
  <c r="O20" i="1" s="1"/>
  <c r="E20" i="1"/>
  <c r="H20" i="1" s="1"/>
  <c r="M52" i="1"/>
  <c r="O52" i="1" s="1"/>
  <c r="E52" i="1"/>
  <c r="H52" i="1" s="1"/>
  <c r="M84" i="1"/>
  <c r="O84" i="1" s="1"/>
  <c r="E84" i="1"/>
  <c r="H84" i="1" s="1"/>
  <c r="M5" i="1"/>
  <c r="E5" i="1"/>
  <c r="H5" i="1" s="1"/>
  <c r="M21" i="1"/>
  <c r="O21" i="1" s="1"/>
  <c r="E21" i="1"/>
  <c r="H21" i="1" s="1"/>
  <c r="M37" i="1"/>
  <c r="O37" i="1" s="1"/>
  <c r="E37" i="1"/>
  <c r="H37" i="1" s="1"/>
  <c r="M53" i="1"/>
  <c r="E53" i="1"/>
  <c r="H53" i="1" s="1"/>
  <c r="M69" i="1"/>
  <c r="O69" i="1" s="1"/>
  <c r="E69" i="1"/>
  <c r="H69" i="1" s="1"/>
  <c r="M85" i="1"/>
  <c r="O85" i="1" s="1"/>
  <c r="E85" i="1"/>
  <c r="H85" i="1" s="1"/>
  <c r="M56" i="1"/>
  <c r="O56" i="1" s="1"/>
  <c r="E56" i="1"/>
  <c r="H56" i="1" s="1"/>
  <c r="M41" i="1"/>
  <c r="O41" i="1" s="1"/>
  <c r="E41" i="1"/>
  <c r="H41" i="1" s="1"/>
  <c r="M46" i="1"/>
  <c r="O46" i="1" s="1"/>
  <c r="E46" i="1"/>
  <c r="H46" i="1" s="1"/>
  <c r="M19" i="1"/>
  <c r="O19" i="1" s="1"/>
  <c r="E19" i="1"/>
  <c r="H19" i="1" s="1"/>
  <c r="M4" i="1"/>
  <c r="O4" i="1" s="1"/>
  <c r="E4" i="1"/>
  <c r="H4" i="1" s="1"/>
  <c r="M36" i="1"/>
  <c r="E36" i="1"/>
  <c r="H36" i="1" s="1"/>
  <c r="M68" i="1"/>
  <c r="O68" i="1" s="1"/>
  <c r="E68" i="1"/>
  <c r="H68" i="1" s="1"/>
  <c r="M6" i="1"/>
  <c r="O6" i="1" s="1"/>
  <c r="E6" i="1"/>
  <c r="H6" i="1" s="1"/>
  <c r="M22" i="1"/>
  <c r="O22" i="1" s="1"/>
  <c r="E22" i="1"/>
  <c r="H22" i="1" s="1"/>
  <c r="M38" i="1"/>
  <c r="O38" i="1" s="1"/>
  <c r="E38" i="1"/>
  <c r="H38" i="1" s="1"/>
  <c r="M54" i="1"/>
  <c r="O54" i="1" s="1"/>
  <c r="E54" i="1"/>
  <c r="H54" i="1" s="1"/>
  <c r="M70" i="1"/>
  <c r="O70" i="1" s="1"/>
  <c r="E70" i="1"/>
  <c r="H70" i="1" s="1"/>
  <c r="M86" i="1"/>
  <c r="O86" i="1" s="1"/>
  <c r="E86" i="1"/>
  <c r="H86" i="1" s="1"/>
  <c r="M8" i="1"/>
  <c r="E8" i="1"/>
  <c r="H8" i="1" s="1"/>
  <c r="M59" i="1"/>
  <c r="O59" i="1" s="1"/>
  <c r="E59" i="1"/>
  <c r="H59" i="1" s="1"/>
  <c r="M7" i="1"/>
  <c r="O7" i="1" s="1"/>
  <c r="E7" i="1"/>
  <c r="H7" i="1" s="1"/>
  <c r="M23" i="1"/>
  <c r="O23" i="1" s="1"/>
  <c r="E23" i="1"/>
  <c r="H23" i="1" s="1"/>
  <c r="M39" i="1"/>
  <c r="O39" i="1" s="1"/>
  <c r="E39" i="1"/>
  <c r="H39" i="1" s="1"/>
  <c r="M55" i="1"/>
  <c r="O55" i="1" s="1"/>
  <c r="E55" i="1"/>
  <c r="H55" i="1" s="1"/>
  <c r="M71" i="1"/>
  <c r="O71" i="1" s="1"/>
  <c r="E71" i="1"/>
  <c r="H71" i="1" s="1"/>
  <c r="M87" i="1"/>
  <c r="O87" i="1" s="1"/>
  <c r="E87" i="1"/>
  <c r="H87" i="1" s="1"/>
  <c r="C86" i="1"/>
  <c r="C10" i="1"/>
  <c r="C16" i="1"/>
  <c r="C44" i="1"/>
  <c r="C50" i="1"/>
  <c r="C78" i="1"/>
  <c r="C84" i="1"/>
  <c r="C68" i="1"/>
  <c r="C15" i="1"/>
  <c r="C48" i="1"/>
  <c r="C51" i="1"/>
  <c r="C11" i="1"/>
  <c r="C35" i="1"/>
  <c r="C9" i="1"/>
  <c r="C24" i="1"/>
  <c r="C41" i="1"/>
  <c r="C6" i="1"/>
  <c r="C5" i="1"/>
  <c r="C33" i="1"/>
  <c r="C39" i="1"/>
  <c r="C67" i="1"/>
  <c r="C73" i="1"/>
  <c r="C58" i="1"/>
  <c r="C49" i="1"/>
  <c r="C7" i="1"/>
  <c r="C47" i="1"/>
  <c r="C74" i="1"/>
  <c r="C4" i="1"/>
  <c r="C32" i="1"/>
  <c r="C38" i="1"/>
  <c r="C66" i="1"/>
  <c r="C72" i="1"/>
  <c r="C83" i="1"/>
  <c r="C8" i="1"/>
  <c r="O8" i="1"/>
  <c r="C57" i="1"/>
  <c r="C31" i="1"/>
  <c r="C37" i="1"/>
  <c r="C65" i="1"/>
  <c r="C71" i="1"/>
  <c r="C18" i="1"/>
  <c r="C42" i="1"/>
  <c r="C34" i="1"/>
  <c r="C3" i="1"/>
  <c r="C13" i="1"/>
  <c r="C30" i="1"/>
  <c r="O30" i="1"/>
  <c r="C36" i="1"/>
  <c r="O36" i="1"/>
  <c r="C64" i="1"/>
  <c r="C70" i="1"/>
  <c r="C45" i="1"/>
  <c r="C23" i="1"/>
  <c r="O5" i="1"/>
  <c r="O42" i="1"/>
  <c r="C17" i="1"/>
  <c r="C85" i="1"/>
  <c r="C43" i="1"/>
  <c r="C89" i="1"/>
  <c r="C12" i="1"/>
  <c r="C82" i="1"/>
  <c r="O82" i="1"/>
  <c r="C75" i="1"/>
  <c r="C40" i="1"/>
  <c r="C29" i="1"/>
  <c r="C69" i="1"/>
  <c r="C56" i="1"/>
  <c r="C79" i="1"/>
  <c r="C21" i="1"/>
  <c r="C55" i="1"/>
  <c r="C61" i="1"/>
  <c r="O61" i="1"/>
  <c r="C20" i="1"/>
  <c r="C26" i="1"/>
  <c r="C54" i="1"/>
  <c r="C60" i="1"/>
  <c r="C88" i="1"/>
  <c r="C52" i="1"/>
  <c r="C77" i="1"/>
  <c r="O14" i="1"/>
  <c r="C14" i="1"/>
  <c r="O76" i="1"/>
  <c r="C76" i="1"/>
  <c r="C81" i="1"/>
  <c r="C80" i="1"/>
  <c r="C46" i="1"/>
  <c r="C63" i="1"/>
  <c r="C22" i="1"/>
  <c r="O28" i="1"/>
  <c r="C28" i="1"/>
  <c r="C62" i="1"/>
  <c r="C27" i="1"/>
  <c r="O27" i="1"/>
  <c r="C2" i="1"/>
  <c r="C19" i="1"/>
  <c r="C25" i="1"/>
  <c r="C53" i="1"/>
  <c r="O53" i="1"/>
  <c r="C59" i="1"/>
  <c r="C87" i="1"/>
  <c r="O73" i="1"/>
  <c r="O89" i="1"/>
  <c r="P33" i="1" l="1"/>
  <c r="Q33" i="1" s="1"/>
  <c r="P17" i="1"/>
  <c r="Q17" i="1" s="1"/>
  <c r="P31" i="1"/>
  <c r="Q31" i="1" s="1"/>
  <c r="P29" i="1"/>
  <c r="Q29" i="1" s="1"/>
  <c r="P45" i="1"/>
  <c r="Q45" i="1" s="1"/>
  <c r="P15" i="1"/>
  <c r="Q15" i="1" s="1"/>
  <c r="P62" i="1"/>
  <c r="Q62" i="1" s="1"/>
  <c r="P48" i="1"/>
  <c r="Q48" i="1" s="1"/>
  <c r="P78" i="1"/>
  <c r="Q78" i="1" s="1"/>
  <c r="P14" i="1"/>
  <c r="Q14" i="1" s="1"/>
  <c r="P30" i="1"/>
  <c r="Q30" i="1" s="1"/>
  <c r="P82" i="1"/>
  <c r="Q82" i="1" s="1"/>
  <c r="P66" i="1"/>
  <c r="Q66" i="1" s="1"/>
  <c r="P81" i="1"/>
  <c r="Q81" i="1" s="1"/>
  <c r="P47" i="1"/>
  <c r="Q47" i="1" s="1"/>
  <c r="P83" i="1"/>
  <c r="Q83" i="1" s="1"/>
  <c r="P50" i="1"/>
  <c r="Q50" i="1" s="1"/>
  <c r="P65" i="1"/>
  <c r="Q65" i="1" s="1"/>
  <c r="P80" i="1"/>
  <c r="Q80" i="1" s="1"/>
  <c r="P79" i="1"/>
  <c r="Q79" i="1" s="1"/>
  <c r="P77" i="1"/>
  <c r="Q77" i="1" s="1"/>
  <c r="P18" i="1"/>
  <c r="Q18" i="1" s="1"/>
  <c r="P63" i="1"/>
  <c r="Q63" i="1" s="1"/>
  <c r="P46" i="1"/>
  <c r="Q46" i="1" s="1"/>
  <c r="P34" i="1"/>
  <c r="Q34" i="1" s="1"/>
  <c r="P49" i="1"/>
  <c r="Q49" i="1" s="1"/>
  <c r="P64" i="1"/>
  <c r="Q64" i="1" s="1"/>
  <c r="P61" i="1"/>
  <c r="Q61" i="1" s="1"/>
  <c r="J29" i="1"/>
  <c r="J14" i="1"/>
  <c r="J17" i="1"/>
  <c r="J66" i="1"/>
  <c r="J31" i="1"/>
  <c r="J44" i="1"/>
  <c r="P44" i="1"/>
  <c r="Q44" i="1" s="1"/>
  <c r="P19" i="1"/>
  <c r="Q19" i="1" s="1"/>
  <c r="J19" i="1"/>
  <c r="J28" i="1"/>
  <c r="P28" i="1"/>
  <c r="Q28" i="1" s="1"/>
  <c r="J78" i="1"/>
  <c r="J80" i="1"/>
  <c r="P55" i="1"/>
  <c r="Q55" i="1" s="1"/>
  <c r="J55" i="1"/>
  <c r="P12" i="1"/>
  <c r="Q12" i="1" s="1"/>
  <c r="J12" i="1"/>
  <c r="J49" i="1"/>
  <c r="J47" i="1"/>
  <c r="P21" i="1"/>
  <c r="Q21" i="1" s="1"/>
  <c r="J21" i="1"/>
  <c r="P54" i="1"/>
  <c r="Q54" i="1" s="1"/>
  <c r="J54" i="1"/>
  <c r="J67" i="1"/>
  <c r="P67" i="1"/>
  <c r="Q67" i="1" s="1"/>
  <c r="P39" i="1"/>
  <c r="Q39" i="1" s="1"/>
  <c r="J39" i="1"/>
  <c r="J30" i="1"/>
  <c r="J48" i="1"/>
  <c r="J77" i="1"/>
  <c r="P38" i="1"/>
  <c r="Q38" i="1" s="1"/>
  <c r="J38" i="1"/>
  <c r="P23" i="1"/>
  <c r="Q23" i="1" s="1"/>
  <c r="J23" i="1"/>
  <c r="P56" i="1"/>
  <c r="Q56" i="1" s="1"/>
  <c r="J56" i="1"/>
  <c r="P52" i="1"/>
  <c r="Q52" i="1" s="1"/>
  <c r="J52" i="1"/>
  <c r="P3" i="1"/>
  <c r="Q3" i="1" s="1"/>
  <c r="J3" i="1"/>
  <c r="J2" i="1"/>
  <c r="P2" i="1"/>
  <c r="Q2" i="1" s="1"/>
  <c r="J32" i="1"/>
  <c r="P32" i="1"/>
  <c r="Q32" i="1" s="1"/>
  <c r="P57" i="1"/>
  <c r="Q57" i="1" s="1"/>
  <c r="J57" i="1"/>
  <c r="P71" i="1"/>
  <c r="Q71" i="1" s="1"/>
  <c r="J71" i="1"/>
  <c r="P41" i="1"/>
  <c r="Q41" i="1" s="1"/>
  <c r="J41" i="1"/>
  <c r="J15" i="1"/>
  <c r="P70" i="1"/>
  <c r="Q70" i="1" s="1"/>
  <c r="J70" i="1"/>
  <c r="P5" i="1"/>
  <c r="Q5" i="1" s="1"/>
  <c r="J5" i="1"/>
  <c r="J51" i="1"/>
  <c r="P51" i="1"/>
  <c r="Q51" i="1" s="1"/>
  <c r="P22" i="1"/>
  <c r="Q22" i="1" s="1"/>
  <c r="J22" i="1"/>
  <c r="P7" i="1"/>
  <c r="Q7" i="1" s="1"/>
  <c r="J7" i="1"/>
  <c r="P6" i="1"/>
  <c r="Q6" i="1" s="1"/>
  <c r="J6" i="1"/>
  <c r="P85" i="1"/>
  <c r="Q85" i="1" s="1"/>
  <c r="J85" i="1"/>
  <c r="P20" i="1"/>
  <c r="Q20" i="1" s="1"/>
  <c r="J20" i="1"/>
  <c r="J74" i="1"/>
  <c r="P74" i="1"/>
  <c r="Q74" i="1" s="1"/>
  <c r="J75" i="1"/>
  <c r="P75" i="1"/>
  <c r="Q75" i="1" s="1"/>
  <c r="P43" i="1"/>
  <c r="Q43" i="1" s="1"/>
  <c r="J43" i="1"/>
  <c r="J16" i="1"/>
  <c r="P16" i="1"/>
  <c r="Q16" i="1" s="1"/>
  <c r="J13" i="1"/>
  <c r="P13" i="1"/>
  <c r="Q13" i="1" s="1"/>
  <c r="P72" i="1"/>
  <c r="Q72" i="1" s="1"/>
  <c r="J72" i="1"/>
  <c r="J81" i="1"/>
  <c r="J50" i="1"/>
  <c r="P84" i="1"/>
  <c r="Q84" i="1" s="1"/>
  <c r="J84" i="1"/>
  <c r="J62" i="1"/>
  <c r="J79" i="1"/>
  <c r="P59" i="1"/>
  <c r="Q59" i="1" s="1"/>
  <c r="J59" i="1"/>
  <c r="P68" i="1"/>
  <c r="Q68" i="1" s="1"/>
  <c r="J68" i="1"/>
  <c r="P69" i="1"/>
  <c r="Q69" i="1" s="1"/>
  <c r="J69" i="1"/>
  <c r="J35" i="1"/>
  <c r="P35" i="1"/>
  <c r="Q35" i="1" s="1"/>
  <c r="J25" i="1"/>
  <c r="P25" i="1"/>
  <c r="Q25" i="1" s="1"/>
  <c r="P10" i="1"/>
  <c r="Q10" i="1" s="1"/>
  <c r="J10" i="1"/>
  <c r="J11" i="1"/>
  <c r="P11" i="1"/>
  <c r="Q11" i="1" s="1"/>
  <c r="P40" i="1"/>
  <c r="Q40" i="1" s="1"/>
  <c r="J40" i="1"/>
  <c r="J26" i="1"/>
  <c r="P26" i="1"/>
  <c r="Q26" i="1" s="1"/>
  <c r="J61" i="1"/>
  <c r="J33" i="1"/>
  <c r="J18" i="1"/>
  <c r="J8" i="1"/>
  <c r="P8" i="1"/>
  <c r="Q8" i="1" s="1"/>
  <c r="P36" i="1"/>
  <c r="Q36" i="1" s="1"/>
  <c r="J36" i="1"/>
  <c r="P53" i="1"/>
  <c r="Q53" i="1" s="1"/>
  <c r="J53" i="1"/>
  <c r="J89" i="1"/>
  <c r="P89" i="1"/>
  <c r="Q89" i="1" s="1"/>
  <c r="J42" i="1"/>
  <c r="P42" i="1"/>
  <c r="Q42" i="1" s="1"/>
  <c r="J27" i="1"/>
  <c r="P27" i="1"/>
  <c r="Q27" i="1" s="1"/>
  <c r="J76" i="1"/>
  <c r="P76" i="1"/>
  <c r="Q76" i="1" s="1"/>
  <c r="J73" i="1"/>
  <c r="P73" i="1"/>
  <c r="Q73" i="1" s="1"/>
  <c r="J64" i="1"/>
  <c r="J82" i="1"/>
  <c r="P87" i="1"/>
  <c r="Q87" i="1" s="1"/>
  <c r="J87" i="1"/>
  <c r="P86" i="1"/>
  <c r="Q86" i="1" s="1"/>
  <c r="J86" i="1"/>
  <c r="P4" i="1"/>
  <c r="Q4" i="1" s="1"/>
  <c r="J4" i="1"/>
  <c r="P37" i="1"/>
  <c r="Q37" i="1" s="1"/>
  <c r="J37" i="1"/>
  <c r="P88" i="1"/>
  <c r="Q88" i="1" s="1"/>
  <c r="J88" i="1"/>
  <c r="J24" i="1"/>
  <c r="P24" i="1"/>
  <c r="Q24" i="1" s="1"/>
  <c r="P58" i="1"/>
  <c r="Q58" i="1" s="1"/>
  <c r="J58" i="1"/>
  <c r="P9" i="1"/>
  <c r="Q9" i="1" s="1"/>
  <c r="J9" i="1"/>
  <c r="J60" i="1"/>
  <c r="P60" i="1"/>
  <c r="Q60" i="1" s="1"/>
  <c r="J45" i="1"/>
  <c r="J65" i="1"/>
  <c r="J34" i="1"/>
  <c r="J46" i="1"/>
  <c r="J83" i="1"/>
  <c r="J63" i="1"/>
  <c r="Q90" i="1" l="1"/>
  <c r="J90" i="1"/>
  <c r="J91" i="1" s="1"/>
</calcChain>
</file>

<file path=xl/sharedStrings.xml><?xml version="1.0" encoding="utf-8"?>
<sst xmlns="http://schemas.openxmlformats.org/spreadsheetml/2006/main" count="31" uniqueCount="20">
  <si>
    <t>q</t>
  </si>
  <si>
    <t>M</t>
  </si>
  <si>
    <t>deltaP</t>
  </si>
  <si>
    <t>Vmax</t>
  </si>
  <si>
    <t>Ht</t>
    <phoneticPr fontId="2" type="noConversion"/>
  </si>
  <si>
    <t>Pe</t>
    <phoneticPr fontId="2" type="noConversion"/>
  </si>
  <si>
    <t>Pa</t>
    <phoneticPr fontId="2" type="noConversion"/>
  </si>
  <si>
    <t>eta</t>
    <phoneticPr fontId="2" type="noConversion"/>
  </si>
  <si>
    <r>
      <t>o</t>
    </r>
    <r>
      <rPr>
        <b/>
        <sz val="11"/>
        <rFont val="宋体"/>
        <family val="3"/>
        <charset val="134"/>
      </rPr>
      <t>mega</t>
    </r>
    <phoneticPr fontId="2" type="noConversion"/>
  </si>
  <si>
    <t>n</t>
    <phoneticPr fontId="2" type="noConversion"/>
  </si>
  <si>
    <t>qv</t>
    <phoneticPr fontId="2" type="noConversion"/>
  </si>
  <si>
    <t>snapshot</t>
    <phoneticPr fontId="2" type="noConversion"/>
  </si>
  <si>
    <t>omega</t>
    <phoneticPr fontId="2" type="noConversion"/>
  </si>
  <si>
    <t>VmaxTh</t>
    <phoneticPr fontId="2" type="noConversion"/>
  </si>
  <si>
    <t>Ao</t>
    <phoneticPr fontId="2" type="noConversion"/>
  </si>
  <si>
    <t>DH</t>
    <phoneticPr fontId="2" type="noConversion"/>
  </si>
  <si>
    <t>step1</t>
    <phoneticPr fontId="2" type="noConversion"/>
  </si>
  <si>
    <t>factor</t>
    <phoneticPr fontId="2" type="noConversion"/>
  </si>
  <si>
    <t>error</t>
    <phoneticPr fontId="2" type="noConversion"/>
  </si>
  <si>
    <t>error2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</si>
</sst>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rgb="FFFF000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top"/>
    </xf>
    <xf numFmtId="0" fontId="3" fillId="2" borderId="0" xfId="1" applyAlignment="1"/>
    <xf numFmtId="0" fontId="4" fillId="3" borderId="0" xfId="2" applyAlignme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2" borderId="3" xfId="1" applyBorder="1" applyAlignment="1">
      <alignment horizontal="center"/>
    </xf>
    <xf numFmtId="0" fontId="4" fillId="3" borderId="3" xfId="2" applyBorder="1" applyAlignment="1">
      <alignment horizontal="center"/>
    </xf>
    <xf numFmtId="0" fontId="4" fillId="3" borderId="4" xfId="2" applyBorder="1" applyAlignment="1">
      <alignment horizontal="center"/>
    </xf>
    <xf numFmtId="0" fontId="4" fillId="4" borderId="0" xfId="2" applyFill="1" applyBorder="1" applyAlignment="1">
      <alignment horizontal="center"/>
    </xf>
    <xf numFmtId="0" fontId="0" fillId="4" borderId="0" xfId="0" applyFill="1"/>
    <xf numFmtId="0" fontId="7" fillId="0" borderId="0" xfId="0" applyFont="1"/>
  </cellXfs>
  <cellStyles count="3">
    <cellStyle name="好" xfId="1" builtinId="26"/>
    <cellStyle name="差" xfId="2" builtinId="27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Sheet1!$E$24:$E$34</c:f>
              <c:numCache>
                <c:formatCode>General</c:formatCode>
                <c:ptCount val="11"/>
                <c:pt idx="0">
                  <c:v>5.5E-2</c:v>
                </c:pt>
                <c:pt idx="1">
                  <c:v>6.6000000000000003E-2</c:v>
                </c:pt>
                <c:pt idx="2">
                  <c:v>7.6999999999999999E-2</c:v>
                </c:pt>
                <c:pt idx="3">
                  <c:v>8.8000000000000009E-2</c:v>
                </c:pt>
                <c:pt idx="4">
                  <c:v>9.9000000000000019E-2</c:v>
                </c:pt>
                <c:pt idx="5">
                  <c:v>0.11</c:v>
                </c:pt>
                <c:pt idx="6">
                  <c:v>0.12100000000000001</c:v>
                </c:pt>
                <c:pt idx="7">
                  <c:v>0.13200000000000001</c:v>
                </c:pt>
                <c:pt idx="8">
                  <c:v>0.14300000000000002</c:v>
                </c:pt>
                <c:pt idx="9">
                  <c:v>0.154</c:v>
                </c:pt>
                <c:pt idx="10">
                  <c:v>0.16500000000000001</c:v>
                </c:pt>
              </c:numCache>
            </c:numRef>
          </c:xVal>
          <c:yVal>
            <c:numRef>
              <c:f>Sheet1!$O$24:$O$34</c:f>
              <c:numCache>
                <c:formatCode>General</c:formatCode>
                <c:ptCount val="11"/>
                <c:pt idx="0">
                  <c:v>0.39657819047396548</c:v>
                </c:pt>
                <c:pt idx="1">
                  <c:v>0.41976741951233143</c:v>
                </c:pt>
                <c:pt idx="2">
                  <c:v>0.46766413785943872</c:v>
                </c:pt>
                <c:pt idx="3">
                  <c:v>0.46687938251675565</c:v>
                </c:pt>
                <c:pt idx="4">
                  <c:v>0.54253845883404328</c:v>
                </c:pt>
                <c:pt idx="5">
                  <c:v>0.54707398188719025</c:v>
                </c:pt>
                <c:pt idx="6">
                  <c:v>0.61436892638925189</c:v>
                </c:pt>
                <c:pt idx="7">
                  <c:v>0.60841963737577232</c:v>
                </c:pt>
                <c:pt idx="8">
                  <c:v>0.66861825337943259</c:v>
                </c:pt>
                <c:pt idx="9">
                  <c:v>0.71508352586440282</c:v>
                </c:pt>
                <c:pt idx="10">
                  <c:v>0.69897159051775626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2-44E8-BD08-E6D8141F4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850047"/>
        <c:axId val="976849215"/>
      </c:scatterChart>
      <c:valAx>
        <c:axId val="97685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849215"/>
        <c:crosses val="autoZero"/>
        <c:crossBetween val="midCat"/>
      </c:valAx>
      <c:valAx>
        <c:axId val="97684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85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205740</xdr:colOff>
      <xdr:row>17</xdr:row>
      <xdr:rowOff>7620</xdr:rowOff>
    </xdr:from>
    <xdr:to>
      <xdr:col>22</xdr:col>
      <xdr:colOff>525780</xdr:colOff>
      <xdr:row>32</xdr:row>
      <xdr:rowOff>7620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tabSelected="1" topLeftCell="A46" zoomScale="85" zoomScaleNormal="85" workbookViewId="0">
      <selection activeCell="A57" sqref="A57:A67"/>
    </sheetView>
  </sheetViews>
  <sheetFormatPr defaultRowHeight="14.4" x14ac:dyDescent="0.25"/>
  <cols>
    <col min="3" max="3" width="8.88671875" style="4"/>
    <col min="5" max="5" width="8.88671875" style="4"/>
    <col min="9" max="10" width="10.5546875" customWidth="1"/>
    <col min="11" max="12" width="8.88671875" style="5"/>
    <col min="15" max="15" width="8.88671875" style="5"/>
  </cols>
  <sheetData>
    <row r="1" spans="1:21" ht="15" thickBot="1" x14ac:dyDescent="0.3">
      <c r="A1" s="6" t="s">
        <v>11</v>
      </c>
      <c r="B1" s="7" t="s">
        <v>12</v>
      </c>
      <c r="C1" s="8" t="s">
        <v>9</v>
      </c>
      <c r="D1" s="7" t="s">
        <v>0</v>
      </c>
      <c r="E1" s="8" t="s">
        <v>10</v>
      </c>
      <c r="F1" s="7" t="s">
        <v>1</v>
      </c>
      <c r="G1" s="7" t="s">
        <v>2</v>
      </c>
      <c r="H1" s="7" t="s">
        <v>13</v>
      </c>
      <c r="I1" s="7" t="s">
        <v>16</v>
      </c>
      <c r="J1" s="7" t="s">
        <v>17</v>
      </c>
      <c r="K1" s="9" t="s">
        <v>3</v>
      </c>
      <c r="L1" s="9" t="s">
        <v>4</v>
      </c>
      <c r="M1" s="7" t="s">
        <v>5</v>
      </c>
      <c r="N1" s="7" t="s">
        <v>6</v>
      </c>
      <c r="O1" s="10" t="s">
        <v>7</v>
      </c>
      <c r="P1" t="s">
        <v>18</v>
      </c>
      <c r="Q1" t="s">
        <v>19</v>
      </c>
      <c r="T1" s="11" t="s">
        <v>14</v>
      </c>
      <c r="U1" t="s">
        <v>15</v>
      </c>
    </row>
    <row r="2" spans="1:21" x14ac:dyDescent="0.25">
      <c r="A2">
        <v>34</v>
      </c>
      <c r="B2">
        <f t="shared" ref="B2:B12" si="0">-43.96*0.8</f>
        <v>-35.167999999999999</v>
      </c>
      <c r="C2" s="4">
        <f t="shared" ref="C2:C33" si="1">-60*B2/2/3.14</f>
        <v>336</v>
      </c>
      <c r="D2">
        <f>1171.5*0.5</f>
        <v>585.75</v>
      </c>
      <c r="E2" s="4">
        <f t="shared" ref="E2:E33" si="2">D2/10650</f>
        <v>5.5E-2</v>
      </c>
      <c r="F2">
        <v>-363.52865000000003</v>
      </c>
      <c r="G2">
        <v>36619.364000000001</v>
      </c>
      <c r="H2">
        <f t="shared" ref="H2:H33" si="3">SQRT(E2^2/0.034426^2/0.0364641+4*9.8^2*L2^2/B2^2/0.159967^2+10)</f>
        <v>10.042709731914988</v>
      </c>
      <c r="I2">
        <f t="shared" ref="I2:I33" si="4">K2^2-4*9.8^2*L2^2/B2^2/0.159967^2</f>
        <v>82.768708229688968</v>
      </c>
      <c r="J2">
        <f t="shared" ref="J2:J33" si="5">E2^2/0.034426^2/I2</f>
        <v>3.0837990685972594E-2</v>
      </c>
      <c r="K2" s="5">
        <v>10.1797124955343</v>
      </c>
      <c r="L2" s="5">
        <f t="shared" ref="L2:L33" si="6">G2/10650/9.8+0.61+0.35</f>
        <v>1.3108610137012553</v>
      </c>
      <c r="M2">
        <f t="shared" ref="M2:M33" si="7">D2*L2*9.8</f>
        <v>7524.8010200000008</v>
      </c>
      <c r="N2">
        <f t="shared" ref="N2:N33" si="8">F2*B2</f>
        <v>12784.5755632</v>
      </c>
      <c r="O2" s="5">
        <f t="shared" ref="O2:O33" si="9">M2/N2</f>
        <v>0.58858434390734915</v>
      </c>
      <c r="P2">
        <f t="shared" ref="P2:P33" si="10">(K2-H2)/H2</f>
        <v>1.3642011695700802E-2</v>
      </c>
      <c r="Q2">
        <f t="shared" ref="Q2:Q33" si="11">P2^2</f>
        <v>1.8610448310563745E-4</v>
      </c>
      <c r="T2">
        <v>3.4425993000000002E-2</v>
      </c>
      <c r="U2">
        <v>0.15996684465785499</v>
      </c>
    </row>
    <row r="3" spans="1:21" x14ac:dyDescent="0.25">
      <c r="A3">
        <v>35</v>
      </c>
      <c r="B3">
        <f t="shared" si="0"/>
        <v>-35.167999999999999</v>
      </c>
      <c r="C3" s="4">
        <f t="shared" si="1"/>
        <v>336</v>
      </c>
      <c r="D3">
        <f>1171.5*0.6</f>
        <v>702.9</v>
      </c>
      <c r="E3" s="4">
        <f t="shared" si="2"/>
        <v>6.6000000000000003E-2</v>
      </c>
      <c r="F3">
        <v>-418.19051999999999</v>
      </c>
      <c r="G3">
        <v>38785.182000000001</v>
      </c>
      <c r="H3">
        <f t="shared" si="3"/>
        <v>11.50307861135448</v>
      </c>
      <c r="I3">
        <f t="shared" si="4"/>
        <v>118.84358345239679</v>
      </c>
      <c r="J3">
        <f t="shared" si="5"/>
        <v>3.0927086126440295E-2</v>
      </c>
      <c r="K3" s="5">
        <v>11.8476588858334</v>
      </c>
      <c r="L3" s="5">
        <f t="shared" si="6"/>
        <v>1.3316123598735268</v>
      </c>
      <c r="M3">
        <f t="shared" si="7"/>
        <v>9172.7052119999989</v>
      </c>
      <c r="N3">
        <f t="shared" si="8"/>
        <v>14706.92420736</v>
      </c>
      <c r="O3" s="5">
        <f t="shared" si="9"/>
        <v>0.62369976771958668</v>
      </c>
      <c r="P3">
        <f t="shared" si="10"/>
        <v>2.9955482886015506E-2</v>
      </c>
      <c r="Q3">
        <f t="shared" si="11"/>
        <v>8.9733095493436791E-4</v>
      </c>
    </row>
    <row r="4" spans="1:21" x14ac:dyDescent="0.25">
      <c r="A4">
        <v>36</v>
      </c>
      <c r="B4">
        <f t="shared" si="0"/>
        <v>-35.167999999999999</v>
      </c>
      <c r="C4" s="4">
        <f t="shared" si="1"/>
        <v>336</v>
      </c>
      <c r="D4">
        <f>1171.5*0.7</f>
        <v>820.05</v>
      </c>
      <c r="E4" s="4">
        <f t="shared" si="2"/>
        <v>7.6999999999999999E-2</v>
      </c>
      <c r="F4">
        <v>-477.76731999999998</v>
      </c>
      <c r="G4">
        <v>50469.777000000002</v>
      </c>
      <c r="H4">
        <f t="shared" si="3"/>
        <v>13.133587380444952</v>
      </c>
      <c r="I4">
        <f t="shared" si="4"/>
        <v>118.50564076360594</v>
      </c>
      <c r="J4">
        <f t="shared" si="5"/>
        <v>4.2215243498785096E-2</v>
      </c>
      <c r="K4" s="5">
        <v>11.991677300043699</v>
      </c>
      <c r="L4" s="5">
        <f t="shared" si="6"/>
        <v>1.4435659384880712</v>
      </c>
      <c r="M4">
        <f t="shared" si="7"/>
        <v>11601.203229000001</v>
      </c>
      <c r="N4">
        <f t="shared" si="8"/>
        <v>16802.121109759999</v>
      </c>
      <c r="O4" s="5">
        <f t="shared" si="9"/>
        <v>0.69046063608368502</v>
      </c>
      <c r="P4">
        <f t="shared" si="10"/>
        <v>-8.6945786198634648E-2</v>
      </c>
      <c r="Q4">
        <f t="shared" si="11"/>
        <v>7.5595697376986872E-3</v>
      </c>
    </row>
    <row r="5" spans="1:21" x14ac:dyDescent="0.25">
      <c r="A5">
        <v>37</v>
      </c>
      <c r="B5">
        <f t="shared" si="0"/>
        <v>-35.167999999999999</v>
      </c>
      <c r="C5" s="4">
        <f t="shared" si="1"/>
        <v>336</v>
      </c>
      <c r="D5">
        <f>1171.5*0.8</f>
        <v>937.2</v>
      </c>
      <c r="E5" s="4">
        <f t="shared" si="2"/>
        <v>8.8000000000000009E-2</v>
      </c>
      <c r="F5">
        <v>-525.28554999999994</v>
      </c>
      <c r="G5">
        <v>49937.402999999998</v>
      </c>
      <c r="H5">
        <f t="shared" si="3"/>
        <v>14.639384696814536</v>
      </c>
      <c r="I5">
        <f t="shared" si="4"/>
        <v>98.643576217529443</v>
      </c>
      <c r="J5">
        <f t="shared" si="5"/>
        <v>6.62404702207086E-2</v>
      </c>
      <c r="K5" s="5">
        <v>11.124739028192099</v>
      </c>
      <c r="L5" s="5">
        <f t="shared" si="6"/>
        <v>1.4384651049152053</v>
      </c>
      <c r="M5">
        <f t="shared" si="7"/>
        <v>13211.669064</v>
      </c>
      <c r="N5">
        <f t="shared" si="8"/>
        <v>18473.242222399997</v>
      </c>
      <c r="O5" s="5">
        <f t="shared" si="9"/>
        <v>0.71517868411750696</v>
      </c>
      <c r="P5">
        <f t="shared" si="10"/>
        <v>-0.24008151581583945</v>
      </c>
      <c r="Q5">
        <f t="shared" si="11"/>
        <v>5.7639134236431168E-2</v>
      </c>
    </row>
    <row r="6" spans="1:21" x14ac:dyDescent="0.25">
      <c r="A6">
        <v>38</v>
      </c>
      <c r="B6">
        <f t="shared" si="0"/>
        <v>-35.167999999999999</v>
      </c>
      <c r="C6" s="4">
        <f t="shared" si="1"/>
        <v>336</v>
      </c>
      <c r="D6">
        <f>1171.5*0.9</f>
        <v>1054.3500000000001</v>
      </c>
      <c r="E6" s="4">
        <f t="shared" si="2"/>
        <v>9.9000000000000019E-2</v>
      </c>
      <c r="F6">
        <v>-602.66169000000002</v>
      </c>
      <c r="G6">
        <v>65775.360000000001</v>
      </c>
      <c r="H6">
        <f t="shared" si="3"/>
        <v>16.355092242329061</v>
      </c>
      <c r="I6">
        <f t="shared" si="4"/>
        <v>115.65974623933226</v>
      </c>
      <c r="J6">
        <f t="shared" si="5"/>
        <v>7.1501479003363011E-2</v>
      </c>
      <c r="K6" s="5">
        <v>12.097713985819</v>
      </c>
      <c r="L6" s="5">
        <f t="shared" si="6"/>
        <v>1.5902132796780681</v>
      </c>
      <c r="M6">
        <f t="shared" si="7"/>
        <v>16431.085439999999</v>
      </c>
      <c r="N6">
        <f t="shared" si="8"/>
        <v>21194.406313920001</v>
      </c>
      <c r="O6" s="5">
        <f t="shared" si="9"/>
        <v>0.77525575364705723</v>
      </c>
      <c r="P6">
        <f t="shared" si="10"/>
        <v>-0.26030903362876934</v>
      </c>
      <c r="Q6">
        <f t="shared" si="11"/>
        <v>6.7760792988743768E-2</v>
      </c>
    </row>
    <row r="7" spans="1:21" x14ac:dyDescent="0.25">
      <c r="A7">
        <v>39</v>
      </c>
      <c r="B7">
        <f t="shared" si="0"/>
        <v>-35.167999999999999</v>
      </c>
      <c r="C7" s="4">
        <f t="shared" si="1"/>
        <v>336</v>
      </c>
      <c r="D7">
        <f>1171.5*1</f>
        <v>1171.5</v>
      </c>
      <c r="E7" s="4">
        <f t="shared" si="2"/>
        <v>0.11</v>
      </c>
      <c r="F7">
        <v>-641.79129999999998</v>
      </c>
      <c r="G7">
        <v>64402.95</v>
      </c>
      <c r="H7">
        <f t="shared" si="3"/>
        <v>17.893633660369208</v>
      </c>
      <c r="I7">
        <f t="shared" si="4"/>
        <v>90.540752327363919</v>
      </c>
      <c r="J7">
        <f t="shared" si="5"/>
        <v>0.11276339495163305</v>
      </c>
      <c r="K7" s="5">
        <v>10.9877275134149</v>
      </c>
      <c r="L7" s="5">
        <f t="shared" si="6"/>
        <v>1.5770638114400688</v>
      </c>
      <c r="M7">
        <f t="shared" si="7"/>
        <v>18105.7965</v>
      </c>
      <c r="N7">
        <f t="shared" si="8"/>
        <v>22570.516438399998</v>
      </c>
      <c r="O7" s="5">
        <f t="shared" si="9"/>
        <v>0.80218795832229983</v>
      </c>
      <c r="P7">
        <f t="shared" si="10"/>
        <v>-0.38594207739088221</v>
      </c>
      <c r="Q7">
        <f t="shared" si="11"/>
        <v>0.14895128710078973</v>
      </c>
    </row>
    <row r="8" spans="1:21" x14ac:dyDescent="0.25">
      <c r="A8">
        <v>40</v>
      </c>
      <c r="B8">
        <f t="shared" si="0"/>
        <v>-35.167999999999999</v>
      </c>
      <c r="C8" s="4">
        <f t="shared" si="1"/>
        <v>336</v>
      </c>
      <c r="D8">
        <f>1171.5*1.1</f>
        <v>1288.6500000000001</v>
      </c>
      <c r="E8" s="4">
        <f t="shared" si="2"/>
        <v>0.12100000000000001</v>
      </c>
      <c r="F8">
        <v>-709.67529999999999</v>
      </c>
      <c r="G8">
        <v>78369.985000000001</v>
      </c>
      <c r="H8">
        <f t="shared" si="3"/>
        <v>19.604117915630859</v>
      </c>
      <c r="I8">
        <f t="shared" si="4"/>
        <v>103.20949504158864</v>
      </c>
      <c r="J8">
        <f t="shared" si="5"/>
        <v>0.11969553729384438</v>
      </c>
      <c r="K8" s="5">
        <v>11.7787834976232</v>
      </c>
      <c r="L8" s="5">
        <f t="shared" si="6"/>
        <v>1.7108861262814985</v>
      </c>
      <c r="M8">
        <f t="shared" si="7"/>
        <v>21606.387385000002</v>
      </c>
      <c r="N8">
        <f t="shared" si="8"/>
        <v>24957.860950399998</v>
      </c>
      <c r="O8" s="5">
        <f t="shared" si="9"/>
        <v>0.86571471120619881</v>
      </c>
      <c r="P8">
        <f t="shared" si="10"/>
        <v>-0.39916789175035117</v>
      </c>
      <c r="Q8">
        <f t="shared" si="11"/>
        <v>0.15933500580442006</v>
      </c>
    </row>
    <row r="9" spans="1:21" x14ac:dyDescent="0.25">
      <c r="A9">
        <v>41</v>
      </c>
      <c r="B9">
        <f t="shared" si="0"/>
        <v>-35.167999999999999</v>
      </c>
      <c r="C9" s="4">
        <f t="shared" si="1"/>
        <v>336</v>
      </c>
      <c r="D9">
        <f>1171.5*1.2</f>
        <v>1405.8</v>
      </c>
      <c r="E9" s="4">
        <f t="shared" si="2"/>
        <v>0.13200000000000001</v>
      </c>
      <c r="F9">
        <v>-789.14431999999999</v>
      </c>
      <c r="G9">
        <v>85382.942999999999</v>
      </c>
      <c r="H9">
        <f t="shared" si="3"/>
        <v>21.250068093658459</v>
      </c>
      <c r="I9">
        <f t="shared" si="4"/>
        <v>102.65047656684268</v>
      </c>
      <c r="J9">
        <f t="shared" si="5"/>
        <v>0.14322332887032285</v>
      </c>
      <c r="K9" s="5">
        <v>11.8754516076923</v>
      </c>
      <c r="L9" s="5">
        <f t="shared" si="6"/>
        <v>1.7780793618855992</v>
      </c>
      <c r="M9">
        <f t="shared" si="7"/>
        <v>24496.314876</v>
      </c>
      <c r="N9">
        <f t="shared" si="8"/>
        <v>27752.627445759997</v>
      </c>
      <c r="O9" s="5">
        <f t="shared" si="9"/>
        <v>0.88266651234647364</v>
      </c>
      <c r="P9">
        <f t="shared" si="10"/>
        <v>-0.4411570092221857</v>
      </c>
      <c r="Q9">
        <f t="shared" si="11"/>
        <v>0.19461950678586365</v>
      </c>
    </row>
    <row r="10" spans="1:21" x14ac:dyDescent="0.25">
      <c r="A10">
        <v>42</v>
      </c>
      <c r="B10">
        <f t="shared" si="0"/>
        <v>-35.167999999999999</v>
      </c>
      <c r="C10" s="4">
        <f t="shared" si="1"/>
        <v>336</v>
      </c>
      <c r="D10">
        <f>1171.5*1.3</f>
        <v>1522.95</v>
      </c>
      <c r="E10" s="4">
        <f t="shared" si="2"/>
        <v>0.14300000000000002</v>
      </c>
      <c r="F10">
        <v>-853.02535</v>
      </c>
      <c r="G10">
        <v>93217.145000000004</v>
      </c>
      <c r="H10">
        <f t="shared" si="3"/>
        <v>22.910086170845247</v>
      </c>
      <c r="I10">
        <f t="shared" si="4"/>
        <v>144.66740073825491</v>
      </c>
      <c r="J10">
        <f t="shared" si="5"/>
        <v>0.11926918939204237</v>
      </c>
      <c r="K10" s="5">
        <v>13.651071347371801</v>
      </c>
      <c r="L10" s="5">
        <f t="shared" si="6"/>
        <v>1.8531411804158284</v>
      </c>
      <c r="M10">
        <f t="shared" si="7"/>
        <v>27657.965335000008</v>
      </c>
      <c r="N10">
        <f t="shared" si="8"/>
        <v>29999.1955088</v>
      </c>
      <c r="O10" s="5">
        <f t="shared" si="9"/>
        <v>0.92195690137379815</v>
      </c>
      <c r="P10">
        <f t="shared" si="10"/>
        <v>-0.4041457877734313</v>
      </c>
      <c r="Q10">
        <f t="shared" si="11"/>
        <v>0.16333381777500738</v>
      </c>
    </row>
    <row r="11" spans="1:21" x14ac:dyDescent="0.25">
      <c r="A11">
        <v>43</v>
      </c>
      <c r="B11">
        <f t="shared" si="0"/>
        <v>-35.167999999999999</v>
      </c>
      <c r="C11" s="4">
        <f t="shared" si="1"/>
        <v>336</v>
      </c>
      <c r="D11">
        <f>1171.5*1.4</f>
        <v>1640.1</v>
      </c>
      <c r="E11" s="4">
        <f t="shared" si="2"/>
        <v>0.154</v>
      </c>
      <c r="F11">
        <v>-908.66493000000003</v>
      </c>
      <c r="G11">
        <v>97192.448999999993</v>
      </c>
      <c r="H11">
        <f t="shared" si="3"/>
        <v>24.539788358426893</v>
      </c>
      <c r="I11">
        <f t="shared" si="4"/>
        <v>135.10801588598886</v>
      </c>
      <c r="J11">
        <f t="shared" si="5"/>
        <v>0.14811095990149845</v>
      </c>
      <c r="K11" s="5">
        <v>13.3612684076906</v>
      </c>
      <c r="L11" s="5">
        <f t="shared" si="6"/>
        <v>1.8912297499281401</v>
      </c>
      <c r="M11">
        <f t="shared" si="7"/>
        <v>30397.697945999997</v>
      </c>
      <c r="N11">
        <f t="shared" si="8"/>
        <v>31955.928258240001</v>
      </c>
      <c r="O11" s="5">
        <f t="shared" si="9"/>
        <v>0.95123814587241085</v>
      </c>
      <c r="P11">
        <f t="shared" si="10"/>
        <v>-0.45552633899948125</v>
      </c>
      <c r="Q11">
        <f t="shared" si="11"/>
        <v>0.20750424552227031</v>
      </c>
    </row>
    <row r="12" spans="1:21" x14ac:dyDescent="0.25">
      <c r="A12">
        <v>44</v>
      </c>
      <c r="B12">
        <f t="shared" si="0"/>
        <v>-35.167999999999999</v>
      </c>
      <c r="C12" s="4">
        <f t="shared" si="1"/>
        <v>336</v>
      </c>
      <c r="D12">
        <f>1171.5*1.5</f>
        <v>1757.25</v>
      </c>
      <c r="E12" s="4">
        <f t="shared" si="2"/>
        <v>0.16500000000000001</v>
      </c>
      <c r="F12">
        <v>-961.75003000000004</v>
      </c>
      <c r="G12">
        <v>99996.839000000007</v>
      </c>
      <c r="H12">
        <f t="shared" si="3"/>
        <v>26.165655325560152</v>
      </c>
      <c r="I12">
        <f t="shared" si="4"/>
        <v>198.85568987735587</v>
      </c>
      <c r="J12">
        <f t="shared" si="5"/>
        <v>0.11551988225965282</v>
      </c>
      <c r="K12" s="5">
        <v>15.604921788214901</v>
      </c>
      <c r="L12" s="5">
        <f t="shared" si="6"/>
        <v>1.9180994442847563</v>
      </c>
      <c r="M12">
        <f t="shared" si="7"/>
        <v>33031.686435000003</v>
      </c>
      <c r="N12">
        <f t="shared" si="8"/>
        <v>33822.825055039997</v>
      </c>
      <c r="O12" s="5">
        <f t="shared" si="9"/>
        <v>0.97660932761374686</v>
      </c>
      <c r="P12">
        <f t="shared" si="10"/>
        <v>-0.40361051179287322</v>
      </c>
      <c r="Q12">
        <f t="shared" si="11"/>
        <v>0.16290144522970504</v>
      </c>
    </row>
    <row r="13" spans="1:21" x14ac:dyDescent="0.25">
      <c r="A13">
        <v>45</v>
      </c>
      <c r="B13">
        <f t="shared" ref="B13:B23" si="12">-43.96*0.9</f>
        <v>-39.564</v>
      </c>
      <c r="C13" s="4">
        <f t="shared" si="1"/>
        <v>378</v>
      </c>
      <c r="D13">
        <f>1171.5*0.5</f>
        <v>585.75</v>
      </c>
      <c r="E13" s="4">
        <f t="shared" si="2"/>
        <v>5.5E-2</v>
      </c>
      <c r="F13">
        <v>-418.59951999999998</v>
      </c>
      <c r="G13">
        <v>38539.574999999997</v>
      </c>
      <c r="H13">
        <f t="shared" si="3"/>
        <v>9.8460296421546563</v>
      </c>
      <c r="I13">
        <f t="shared" si="4"/>
        <v>82.012082705373871</v>
      </c>
      <c r="J13">
        <f t="shared" si="5"/>
        <v>3.112249523825205E-2</v>
      </c>
      <c r="K13" s="5">
        <v>9.9477737168730496</v>
      </c>
      <c r="L13" s="5">
        <f t="shared" si="6"/>
        <v>1.3292591261856854</v>
      </c>
      <c r="M13">
        <f t="shared" si="7"/>
        <v>7630.4126249999999</v>
      </c>
      <c r="N13">
        <f t="shared" si="8"/>
        <v>16561.471409279999</v>
      </c>
      <c r="O13" s="5">
        <f t="shared" si="9"/>
        <v>0.46073277165001175</v>
      </c>
      <c r="P13">
        <f t="shared" si="10"/>
        <v>1.0333512940362034E-2</v>
      </c>
      <c r="Q13">
        <f t="shared" si="11"/>
        <v>1.0678148968862962E-4</v>
      </c>
    </row>
    <row r="14" spans="1:21" x14ac:dyDescent="0.25">
      <c r="A14">
        <v>46</v>
      </c>
      <c r="B14">
        <f t="shared" si="12"/>
        <v>-39.564</v>
      </c>
      <c r="C14" s="4">
        <f t="shared" si="1"/>
        <v>378</v>
      </c>
      <c r="D14">
        <f>1171.5*0.6</f>
        <v>702.9</v>
      </c>
      <c r="E14" s="4">
        <f t="shared" si="2"/>
        <v>6.6000000000000003E-2</v>
      </c>
      <c r="F14">
        <v>-482.39317999999997</v>
      </c>
      <c r="G14">
        <v>48349.184000000001</v>
      </c>
      <c r="H14">
        <f t="shared" si="3"/>
        <v>11.411602112158</v>
      </c>
      <c r="I14">
        <f t="shared" si="4"/>
        <v>159.84485614023899</v>
      </c>
      <c r="J14">
        <f t="shared" si="5"/>
        <v>2.2994082072821932E-2</v>
      </c>
      <c r="K14" s="5">
        <v>13.389254609205</v>
      </c>
      <c r="L14" s="5">
        <f t="shared" si="6"/>
        <v>1.4232479064865382</v>
      </c>
      <c r="M14">
        <f t="shared" si="7"/>
        <v>9803.9293440000001</v>
      </c>
      <c r="N14">
        <f t="shared" si="8"/>
        <v>19085.40377352</v>
      </c>
      <c r="O14" s="5">
        <f t="shared" si="9"/>
        <v>0.51368729005369218</v>
      </c>
      <c r="P14">
        <f t="shared" si="10"/>
        <v>0.17330191480651042</v>
      </c>
      <c r="Q14">
        <f t="shared" si="11"/>
        <v>3.0033553675602995E-2</v>
      </c>
    </row>
    <row r="15" spans="1:21" x14ac:dyDescent="0.25">
      <c r="A15">
        <v>47</v>
      </c>
      <c r="B15">
        <f t="shared" si="12"/>
        <v>-39.564</v>
      </c>
      <c r="C15" s="4">
        <f t="shared" si="1"/>
        <v>378</v>
      </c>
      <c r="D15">
        <f>1171.5*0.7</f>
        <v>820.05</v>
      </c>
      <c r="E15" s="4">
        <f t="shared" si="2"/>
        <v>7.6999999999999999E-2</v>
      </c>
      <c r="F15">
        <v>-544.32132000000001</v>
      </c>
      <c r="G15">
        <v>50405.438999999998</v>
      </c>
      <c r="H15">
        <f t="shared" si="3"/>
        <v>12.929241713757785</v>
      </c>
      <c r="I15">
        <f t="shared" si="4"/>
        <v>159.58666757697887</v>
      </c>
      <c r="J15">
        <f t="shared" si="5"/>
        <v>3.1348135510142372E-2</v>
      </c>
      <c r="K15" s="5">
        <v>13.399833024883099</v>
      </c>
      <c r="L15" s="5">
        <f t="shared" si="6"/>
        <v>1.4429494969818912</v>
      </c>
      <c r="M15">
        <f t="shared" si="7"/>
        <v>11596.249202999999</v>
      </c>
      <c r="N15">
        <f t="shared" si="8"/>
        <v>21535.528704479999</v>
      </c>
      <c r="O15" s="5">
        <f t="shared" si="9"/>
        <v>0.53847060650931</v>
      </c>
      <c r="P15">
        <f t="shared" si="10"/>
        <v>3.6397440897447716E-2</v>
      </c>
      <c r="Q15">
        <f t="shared" si="11"/>
        <v>1.3247737038831996E-3</v>
      </c>
    </row>
    <row r="16" spans="1:21" x14ac:dyDescent="0.25">
      <c r="A16">
        <v>48</v>
      </c>
      <c r="B16">
        <f t="shared" si="12"/>
        <v>-39.564</v>
      </c>
      <c r="C16" s="4">
        <f t="shared" si="1"/>
        <v>378</v>
      </c>
      <c r="D16">
        <f>1171.5*0.8</f>
        <v>937.2</v>
      </c>
      <c r="E16" s="4">
        <f t="shared" si="2"/>
        <v>8.8000000000000009E-2</v>
      </c>
      <c r="F16">
        <v>-617.14432999999997</v>
      </c>
      <c r="G16">
        <v>64884.612000000001</v>
      </c>
      <c r="H16">
        <f t="shared" si="3"/>
        <v>14.600976198433102</v>
      </c>
      <c r="I16">
        <f t="shared" si="4"/>
        <v>159.3580563074641</v>
      </c>
      <c r="J16">
        <f t="shared" si="5"/>
        <v>4.1003241532354247E-2</v>
      </c>
      <c r="K16" s="5">
        <v>13.540724507248401</v>
      </c>
      <c r="L16" s="5">
        <f t="shared" si="6"/>
        <v>1.5816787582638687</v>
      </c>
      <c r="M16">
        <f t="shared" si="7"/>
        <v>14527.023455999999</v>
      </c>
      <c r="N16">
        <f t="shared" si="8"/>
        <v>24416.69827212</v>
      </c>
      <c r="O16" s="5">
        <f t="shared" si="9"/>
        <v>0.59496264786085173</v>
      </c>
      <c r="P16">
        <f t="shared" si="10"/>
        <v>-7.2615123590057076E-2</v>
      </c>
      <c r="Q16">
        <f t="shared" si="11"/>
        <v>5.2729561739992634E-3</v>
      </c>
    </row>
    <row r="17" spans="1:17" x14ac:dyDescent="0.25">
      <c r="A17">
        <v>49</v>
      </c>
      <c r="B17">
        <f t="shared" si="12"/>
        <v>-39.564</v>
      </c>
      <c r="C17" s="4">
        <f t="shared" si="1"/>
        <v>378</v>
      </c>
      <c r="D17">
        <f>1171.5*0.9</f>
        <v>1054.3500000000001</v>
      </c>
      <c r="E17" s="4">
        <f t="shared" si="2"/>
        <v>9.9000000000000019E-2</v>
      </c>
      <c r="F17">
        <v>-664.20401000000004</v>
      </c>
      <c r="G17">
        <v>63087.622000000003</v>
      </c>
      <c r="H17">
        <f t="shared" si="3"/>
        <v>16.132816016507583</v>
      </c>
      <c r="I17">
        <f t="shared" si="4"/>
        <v>129.97383649519199</v>
      </c>
      <c r="J17">
        <f t="shared" si="5"/>
        <v>6.3626981708521227E-2</v>
      </c>
      <c r="K17" s="5">
        <v>12.3873921511322</v>
      </c>
      <c r="L17" s="5">
        <f t="shared" si="6"/>
        <v>1.564461262814985</v>
      </c>
      <c r="M17">
        <f t="shared" si="7"/>
        <v>16164.999378</v>
      </c>
      <c r="N17">
        <f t="shared" si="8"/>
        <v>26278.567451640003</v>
      </c>
      <c r="O17" s="5">
        <f t="shared" si="9"/>
        <v>0.61514005311545883</v>
      </c>
      <c r="P17">
        <f t="shared" si="10"/>
        <v>-0.23216181611089795</v>
      </c>
      <c r="Q17">
        <f t="shared" si="11"/>
        <v>5.3899108859910394E-2</v>
      </c>
    </row>
    <row r="18" spans="1:17" x14ac:dyDescent="0.25">
      <c r="A18">
        <v>50</v>
      </c>
      <c r="B18">
        <f t="shared" si="12"/>
        <v>-39.564</v>
      </c>
      <c r="C18" s="4">
        <f t="shared" si="1"/>
        <v>378</v>
      </c>
      <c r="D18">
        <f>1171.5*1</f>
        <v>1171.5</v>
      </c>
      <c r="E18" s="4">
        <f t="shared" si="2"/>
        <v>0.11</v>
      </c>
      <c r="F18">
        <v>-747.33753999999999</v>
      </c>
      <c r="G18">
        <v>81450.519</v>
      </c>
      <c r="H18">
        <f t="shared" si="3"/>
        <v>17.861774134954825</v>
      </c>
      <c r="I18">
        <f t="shared" si="4"/>
        <v>145.06456538306838</v>
      </c>
      <c r="J18">
        <f t="shared" si="5"/>
        <v>7.0380265414562632E-2</v>
      </c>
      <c r="K18" s="5">
        <v>13.1952574299027</v>
      </c>
      <c r="L18" s="5">
        <f t="shared" si="6"/>
        <v>1.7404016384018397</v>
      </c>
      <c r="M18">
        <f t="shared" si="7"/>
        <v>19981.029090000004</v>
      </c>
      <c r="N18">
        <f t="shared" si="8"/>
        <v>29567.662432559999</v>
      </c>
      <c r="O18" s="5">
        <f t="shared" si="9"/>
        <v>0.67577303872344108</v>
      </c>
      <c r="P18">
        <f t="shared" si="10"/>
        <v>-0.26125717802689746</v>
      </c>
      <c r="Q18">
        <f t="shared" si="11"/>
        <v>6.8255313070578E-2</v>
      </c>
    </row>
    <row r="19" spans="1:17" x14ac:dyDescent="0.25">
      <c r="A19">
        <v>51</v>
      </c>
      <c r="B19">
        <f t="shared" si="12"/>
        <v>-39.564</v>
      </c>
      <c r="C19" s="4">
        <f t="shared" si="1"/>
        <v>378</v>
      </c>
      <c r="D19">
        <f>1171.5*1.1</f>
        <v>1288.6500000000001</v>
      </c>
      <c r="E19" s="4">
        <f t="shared" si="2"/>
        <v>0.12100000000000001</v>
      </c>
      <c r="F19">
        <v>-799.57951000000003</v>
      </c>
      <c r="G19">
        <v>79507.354000000007</v>
      </c>
      <c r="H19">
        <f t="shared" si="3"/>
        <v>19.422235658329377</v>
      </c>
      <c r="I19">
        <f t="shared" si="4"/>
        <v>119.91343947339409</v>
      </c>
      <c r="J19">
        <f t="shared" si="5"/>
        <v>0.10302194663985359</v>
      </c>
      <c r="K19" s="5">
        <v>12.1797160818062</v>
      </c>
      <c r="L19" s="5">
        <f t="shared" si="6"/>
        <v>1.7217835968190092</v>
      </c>
      <c r="M19">
        <f t="shared" si="7"/>
        <v>21744.009034000002</v>
      </c>
      <c r="N19">
        <f t="shared" si="8"/>
        <v>31634.56373364</v>
      </c>
      <c r="O19" s="5">
        <f t="shared" si="9"/>
        <v>0.68734973610138828</v>
      </c>
      <c r="P19">
        <f t="shared" si="10"/>
        <v>-0.37289834723105969</v>
      </c>
      <c r="Q19">
        <f t="shared" si="11"/>
        <v>0.13905317736765596</v>
      </c>
    </row>
    <row r="20" spans="1:17" x14ac:dyDescent="0.25">
      <c r="A20">
        <v>52</v>
      </c>
      <c r="B20">
        <f t="shared" si="12"/>
        <v>-39.564</v>
      </c>
      <c r="C20" s="4">
        <f t="shared" si="1"/>
        <v>378</v>
      </c>
      <c r="D20">
        <f>1171.5*1.2</f>
        <v>1405.8</v>
      </c>
      <c r="E20" s="4">
        <f t="shared" si="2"/>
        <v>0.13200000000000001</v>
      </c>
      <c r="F20">
        <v>-869.19129999999996</v>
      </c>
      <c r="G20">
        <v>94554.98</v>
      </c>
      <c r="H20">
        <f t="shared" si="3"/>
        <v>21.132498928928538</v>
      </c>
      <c r="I20">
        <f t="shared" si="4"/>
        <v>116.94504975751545</v>
      </c>
      <c r="J20">
        <f t="shared" si="5"/>
        <v>0.12571667628952771</v>
      </c>
      <c r="K20" s="5">
        <v>12.2612414164863</v>
      </c>
      <c r="L20" s="5">
        <f t="shared" si="6"/>
        <v>1.8659593752994152</v>
      </c>
      <c r="M20">
        <f t="shared" si="7"/>
        <v>25707.023759999996</v>
      </c>
      <c r="N20">
        <f t="shared" si="8"/>
        <v>34388.6845932</v>
      </c>
      <c r="O20" s="5">
        <f t="shared" si="9"/>
        <v>0.74754309634405991</v>
      </c>
      <c r="P20">
        <f t="shared" si="10"/>
        <v>-0.41979216666601904</v>
      </c>
      <c r="Q20">
        <f t="shared" si="11"/>
        <v>0.17622546319415069</v>
      </c>
    </row>
    <row r="21" spans="1:17" x14ac:dyDescent="0.25">
      <c r="A21">
        <v>53</v>
      </c>
      <c r="B21">
        <f t="shared" si="12"/>
        <v>-39.564</v>
      </c>
      <c r="C21" s="4">
        <f t="shared" si="1"/>
        <v>378</v>
      </c>
      <c r="D21">
        <f>1171.5*1.3</f>
        <v>1522.95</v>
      </c>
      <c r="E21" s="4">
        <f t="shared" si="2"/>
        <v>0.14300000000000002</v>
      </c>
      <c r="F21">
        <v>-960.89355999999998</v>
      </c>
      <c r="G21">
        <v>101501.9</v>
      </c>
      <c r="H21">
        <f t="shared" si="3"/>
        <v>22.781692196317596</v>
      </c>
      <c r="I21">
        <f t="shared" si="4"/>
        <v>140.83239511308869</v>
      </c>
      <c r="J21">
        <f t="shared" si="5"/>
        <v>0.12251700756527024</v>
      </c>
      <c r="K21" s="5">
        <v>13.2909816897802</v>
      </c>
      <c r="L21" s="5">
        <f t="shared" si="6"/>
        <v>1.9325198811919133</v>
      </c>
      <c r="M21">
        <f t="shared" si="7"/>
        <v>28842.685300000001</v>
      </c>
      <c r="N21">
        <f t="shared" si="8"/>
        <v>38016.79280784</v>
      </c>
      <c r="O21" s="5">
        <f t="shared" si="9"/>
        <v>0.75868276016308056</v>
      </c>
      <c r="P21">
        <f t="shared" si="10"/>
        <v>-0.41659374662569898</v>
      </c>
      <c r="Q21">
        <f t="shared" si="11"/>
        <v>0.17355034972763708</v>
      </c>
    </row>
    <row r="22" spans="1:17" x14ac:dyDescent="0.25">
      <c r="A22">
        <v>54</v>
      </c>
      <c r="B22">
        <f t="shared" si="12"/>
        <v>-39.564</v>
      </c>
      <c r="C22" s="4">
        <f t="shared" si="1"/>
        <v>378</v>
      </c>
      <c r="D22">
        <f>1171.5*1.4</f>
        <v>1640.1</v>
      </c>
      <c r="E22" s="4">
        <f t="shared" si="2"/>
        <v>0.154</v>
      </c>
      <c r="F22">
        <v>-1037.3646000000001</v>
      </c>
      <c r="G22">
        <v>114899.86</v>
      </c>
      <c r="H22">
        <f t="shared" si="3"/>
        <v>24.48509861588224</v>
      </c>
      <c r="I22">
        <f t="shared" si="4"/>
        <v>188.97895358932652</v>
      </c>
      <c r="J22">
        <f t="shared" si="5"/>
        <v>0.10588998162592708</v>
      </c>
      <c r="K22" s="5">
        <v>15.1562948215843</v>
      </c>
      <c r="L22" s="5">
        <f t="shared" si="6"/>
        <v>2.0608897192679891</v>
      </c>
      <c r="M22">
        <f t="shared" si="7"/>
        <v>33124.639240000004</v>
      </c>
      <c r="N22">
        <f t="shared" si="8"/>
        <v>41042.293034400005</v>
      </c>
      <c r="O22" s="5">
        <f t="shared" si="9"/>
        <v>0.8070854913548875</v>
      </c>
      <c r="P22">
        <f t="shared" si="10"/>
        <v>-0.38099923307014244</v>
      </c>
      <c r="Q22">
        <f t="shared" si="11"/>
        <v>0.14516041560003673</v>
      </c>
    </row>
    <row r="23" spans="1:17" x14ac:dyDescent="0.25">
      <c r="A23">
        <v>55</v>
      </c>
      <c r="B23">
        <f t="shared" si="12"/>
        <v>-39.564</v>
      </c>
      <c r="C23" s="4">
        <f t="shared" si="1"/>
        <v>378</v>
      </c>
      <c r="D23">
        <f>1171.5*1.5</f>
        <v>1757.25</v>
      </c>
      <c r="E23" s="4">
        <f t="shared" si="2"/>
        <v>0.16500000000000001</v>
      </c>
      <c r="F23">
        <v>-1102.0423000000001</v>
      </c>
      <c r="G23">
        <v>120669.25</v>
      </c>
      <c r="H23">
        <f t="shared" si="3"/>
        <v>26.132976167871647</v>
      </c>
      <c r="I23">
        <f t="shared" si="4"/>
        <v>184.90233652296197</v>
      </c>
      <c r="J23">
        <f t="shared" si="5"/>
        <v>0.12423740182667431</v>
      </c>
      <c r="K23" s="5">
        <v>15.094739329860699</v>
      </c>
      <c r="L23" s="5">
        <f t="shared" si="6"/>
        <v>2.1161679601418033</v>
      </c>
      <c r="M23">
        <f t="shared" si="7"/>
        <v>36442.634250000003</v>
      </c>
      <c r="N23">
        <f t="shared" si="8"/>
        <v>43601.201557200002</v>
      </c>
      <c r="O23" s="5">
        <f t="shared" si="9"/>
        <v>0.83581720109688395</v>
      </c>
      <c r="P23">
        <f t="shared" si="10"/>
        <v>-0.42238728444491352</v>
      </c>
      <c r="Q23">
        <f t="shared" si="11"/>
        <v>0.1784110180607483</v>
      </c>
    </row>
    <row r="24" spans="1:17" x14ac:dyDescent="0.25">
      <c r="A24">
        <v>56</v>
      </c>
      <c r="B24">
        <f>-43.96*1</f>
        <v>-43.96</v>
      </c>
      <c r="C24" s="4">
        <f t="shared" si="1"/>
        <v>419.99999999999994</v>
      </c>
      <c r="D24">
        <f>1171.5*0.5</f>
        <v>585.75</v>
      </c>
      <c r="E24" s="4">
        <f t="shared" si="2"/>
        <v>5.5E-2</v>
      </c>
      <c r="F24">
        <v>-484.82992000000002</v>
      </c>
      <c r="G24">
        <v>53483.343000000001</v>
      </c>
      <c r="H24">
        <f t="shared" si="3"/>
        <v>9.8407751634031264</v>
      </c>
      <c r="I24">
        <f t="shared" si="4"/>
        <v>106.55940810359088</v>
      </c>
      <c r="J24">
        <f t="shared" si="5"/>
        <v>2.3953029571971873E-2</v>
      </c>
      <c r="K24" s="5">
        <v>11.108649036799701</v>
      </c>
      <c r="L24" s="5">
        <f t="shared" si="6"/>
        <v>1.4724398102903131</v>
      </c>
      <c r="M24">
        <f t="shared" si="7"/>
        <v>8452.3198649999995</v>
      </c>
      <c r="N24">
        <f t="shared" si="8"/>
        <v>21313.123283200002</v>
      </c>
      <c r="O24" s="5">
        <f t="shared" si="9"/>
        <v>0.39657819047396548</v>
      </c>
      <c r="P24">
        <f t="shared" si="10"/>
        <v>0.12883882136761671</v>
      </c>
      <c r="Q24">
        <f t="shared" si="11"/>
        <v>1.6599441891396647E-2</v>
      </c>
    </row>
    <row r="25" spans="1:17" x14ac:dyDescent="0.25">
      <c r="A25">
        <v>57</v>
      </c>
      <c r="B25">
        <f t="shared" ref="B25:B34" si="13">-43.96*1</f>
        <v>-43.96</v>
      </c>
      <c r="C25" s="4">
        <f t="shared" si="1"/>
        <v>419.99999999999994</v>
      </c>
      <c r="D25">
        <f>1171.5*0.6</f>
        <v>702.9</v>
      </c>
      <c r="E25" s="4">
        <f t="shared" si="2"/>
        <v>6.6000000000000003E-2</v>
      </c>
      <c r="F25">
        <v>-554.67646000000002</v>
      </c>
      <c r="G25">
        <v>54887.091999999997</v>
      </c>
      <c r="H25">
        <f t="shared" si="3"/>
        <v>11.311461147533105</v>
      </c>
      <c r="I25">
        <f t="shared" si="4"/>
        <v>108.03894316170995</v>
      </c>
      <c r="J25">
        <f t="shared" si="5"/>
        <v>3.4020008280770536E-2</v>
      </c>
      <c r="K25" s="5">
        <v>11.1888657395435</v>
      </c>
      <c r="L25" s="5">
        <f t="shared" si="6"/>
        <v>1.4858895468046374</v>
      </c>
      <c r="M25">
        <f t="shared" si="7"/>
        <v>10235.431272</v>
      </c>
      <c r="N25">
        <f t="shared" si="8"/>
        <v>24383.577181600001</v>
      </c>
      <c r="O25" s="5">
        <f t="shared" si="9"/>
        <v>0.41976741951233143</v>
      </c>
      <c r="P25">
        <f t="shared" si="10"/>
        <v>-1.0838158429810089E-2</v>
      </c>
      <c r="Q25">
        <f t="shared" si="11"/>
        <v>1.174656781496635E-4</v>
      </c>
    </row>
    <row r="26" spans="1:17" x14ac:dyDescent="0.25">
      <c r="A26">
        <v>58</v>
      </c>
      <c r="B26">
        <f t="shared" si="13"/>
        <v>-43.96</v>
      </c>
      <c r="C26" s="4">
        <f t="shared" si="1"/>
        <v>419.99999999999994</v>
      </c>
      <c r="D26">
        <f>1171.5*0.7</f>
        <v>820.05</v>
      </c>
      <c r="E26" s="4">
        <f t="shared" si="2"/>
        <v>7.6999999999999999E-2</v>
      </c>
      <c r="F26">
        <v>-609.27301</v>
      </c>
      <c r="G26">
        <v>62476.86</v>
      </c>
      <c r="H26">
        <f t="shared" si="3"/>
        <v>12.88674174386032</v>
      </c>
      <c r="I26">
        <f t="shared" si="4"/>
        <v>152.93952310758226</v>
      </c>
      <c r="J26">
        <f t="shared" si="5"/>
        <v>3.271060599094517E-2</v>
      </c>
      <c r="K26" s="5">
        <v>13.107677220069499</v>
      </c>
      <c r="L26" s="5">
        <f t="shared" si="6"/>
        <v>1.5586093705087669</v>
      </c>
      <c r="M26">
        <f t="shared" si="7"/>
        <v>12525.748620000002</v>
      </c>
      <c r="N26">
        <f t="shared" si="8"/>
        <v>26783.641519600002</v>
      </c>
      <c r="O26" s="5">
        <f t="shared" si="9"/>
        <v>0.46766413785943872</v>
      </c>
      <c r="P26">
        <f t="shared" si="10"/>
        <v>1.7144401633907243E-2</v>
      </c>
      <c r="Q26">
        <f t="shared" si="11"/>
        <v>2.9393050738472134E-4</v>
      </c>
    </row>
    <row r="27" spans="1:17" x14ac:dyDescent="0.25">
      <c r="A27">
        <v>59</v>
      </c>
      <c r="B27">
        <f t="shared" si="13"/>
        <v>-43.96</v>
      </c>
      <c r="C27" s="4">
        <f t="shared" si="1"/>
        <v>419.99999999999994</v>
      </c>
      <c r="D27">
        <f>1171.5*0.8</f>
        <v>937.2</v>
      </c>
      <c r="E27" s="4">
        <f t="shared" si="2"/>
        <v>8.8000000000000009E-2</v>
      </c>
      <c r="F27">
        <v>-684.25608999999997</v>
      </c>
      <c r="G27">
        <v>59392.118999999999</v>
      </c>
      <c r="H27">
        <f t="shared" si="3"/>
        <v>14.399933404465113</v>
      </c>
      <c r="I27">
        <f t="shared" si="4"/>
        <v>194.78010854324992</v>
      </c>
      <c r="J27">
        <f t="shared" si="5"/>
        <v>3.3546530607105468E-2</v>
      </c>
      <c r="K27" s="5">
        <v>14.592561410623</v>
      </c>
      <c r="L27" s="5">
        <f t="shared" si="6"/>
        <v>1.5290535498706523</v>
      </c>
      <c r="M27">
        <f t="shared" si="7"/>
        <v>14043.684072</v>
      </c>
      <c r="N27">
        <f t="shared" si="8"/>
        <v>30079.897716399999</v>
      </c>
      <c r="O27" s="5">
        <f t="shared" si="9"/>
        <v>0.46687938251675565</v>
      </c>
      <c r="P27">
        <f t="shared" si="10"/>
        <v>1.3377006736583775E-2</v>
      </c>
      <c r="Q27">
        <f t="shared" si="11"/>
        <v>1.789443092306077E-4</v>
      </c>
    </row>
    <row r="28" spans="1:17" x14ac:dyDescent="0.25">
      <c r="A28">
        <v>60</v>
      </c>
      <c r="B28">
        <f t="shared" si="13"/>
        <v>-43.96</v>
      </c>
      <c r="C28" s="4">
        <f t="shared" si="1"/>
        <v>419.99999999999994</v>
      </c>
      <c r="D28">
        <f>1171.5*0.9</f>
        <v>1054.3500000000001</v>
      </c>
      <c r="E28" s="4">
        <f t="shared" si="2"/>
        <v>9.9000000000000019E-2</v>
      </c>
      <c r="F28">
        <v>-777.30137000000002</v>
      </c>
      <c r="G28">
        <v>87063.692999999999</v>
      </c>
      <c r="H28">
        <f t="shared" si="3"/>
        <v>16.180283084434496</v>
      </c>
      <c r="I28">
        <f t="shared" si="4"/>
        <v>212.62512280990379</v>
      </c>
      <c r="J28">
        <f t="shared" si="5"/>
        <v>3.8894006540607685E-2</v>
      </c>
      <c r="K28" s="5">
        <v>15.4153358280187</v>
      </c>
      <c r="L28" s="5">
        <f t="shared" si="6"/>
        <v>1.7941831273354412</v>
      </c>
      <c r="M28">
        <f t="shared" si="7"/>
        <v>18538.630407000004</v>
      </c>
      <c r="N28">
        <f t="shared" si="8"/>
        <v>34170.168225200003</v>
      </c>
      <c r="O28" s="5">
        <f t="shared" si="9"/>
        <v>0.54253845883404328</v>
      </c>
      <c r="P28">
        <f t="shared" si="10"/>
        <v>-4.7276506376558954E-2</v>
      </c>
      <c r="Q28">
        <f t="shared" si="11"/>
        <v>2.2350680551728192E-3</v>
      </c>
    </row>
    <row r="29" spans="1:17" x14ac:dyDescent="0.25">
      <c r="A29">
        <v>61</v>
      </c>
      <c r="B29">
        <f t="shared" si="13"/>
        <v>-43.96</v>
      </c>
      <c r="C29" s="4">
        <f t="shared" si="1"/>
        <v>419.99999999999994</v>
      </c>
      <c r="D29">
        <f>1171.5*1</f>
        <v>1171.5</v>
      </c>
      <c r="E29" s="4">
        <f t="shared" si="2"/>
        <v>0.11</v>
      </c>
      <c r="F29">
        <v>-818.76287000000002</v>
      </c>
      <c r="G29">
        <v>78811.464000000007</v>
      </c>
      <c r="H29">
        <f t="shared" si="3"/>
        <v>17.68741525362714</v>
      </c>
      <c r="I29">
        <f t="shared" si="4"/>
        <v>165.85021553285571</v>
      </c>
      <c r="J29">
        <f t="shared" si="5"/>
        <v>6.1559658400841454E-2</v>
      </c>
      <c r="K29" s="5">
        <v>13.736890182908599</v>
      </c>
      <c r="L29" s="5">
        <f t="shared" si="6"/>
        <v>1.7151160678355848</v>
      </c>
      <c r="M29">
        <f t="shared" si="7"/>
        <v>19690.733039999999</v>
      </c>
      <c r="N29">
        <f t="shared" si="8"/>
        <v>35992.815765200001</v>
      </c>
      <c r="O29" s="5">
        <f t="shared" si="9"/>
        <v>0.54707398188719025</v>
      </c>
      <c r="P29">
        <f t="shared" si="10"/>
        <v>-0.22335231089847404</v>
      </c>
      <c r="Q29">
        <f t="shared" si="11"/>
        <v>4.9886254783688605E-2</v>
      </c>
    </row>
    <row r="30" spans="1:17" x14ac:dyDescent="0.25">
      <c r="A30">
        <v>62</v>
      </c>
      <c r="B30">
        <f t="shared" si="13"/>
        <v>-43.96</v>
      </c>
      <c r="C30" s="4">
        <f t="shared" si="1"/>
        <v>419.99999999999994</v>
      </c>
      <c r="D30">
        <f>1171.5*1.1</f>
        <v>1288.6500000000001</v>
      </c>
      <c r="E30" s="4">
        <f t="shared" si="2"/>
        <v>0.12100000000000001</v>
      </c>
      <c r="F30">
        <v>-914.05017999999995</v>
      </c>
      <c r="G30">
        <v>103824.26</v>
      </c>
      <c r="H30">
        <f t="shared" si="3"/>
        <v>19.454448355532556</v>
      </c>
      <c r="I30">
        <f t="shared" si="4"/>
        <v>192.89009155736812</v>
      </c>
      <c r="J30">
        <f t="shared" si="5"/>
        <v>6.4045363155189119E-2</v>
      </c>
      <c r="K30" s="5">
        <v>14.918929544970201</v>
      </c>
      <c r="L30" s="5">
        <f t="shared" si="6"/>
        <v>1.95477110280732</v>
      </c>
      <c r="M30">
        <f t="shared" si="7"/>
        <v>24686.354660000005</v>
      </c>
      <c r="N30">
        <f t="shared" si="8"/>
        <v>40181.645912799999</v>
      </c>
      <c r="O30" s="5">
        <f t="shared" si="9"/>
        <v>0.61436892638925189</v>
      </c>
      <c r="P30">
        <f t="shared" si="10"/>
        <v>-0.2331353080629768</v>
      </c>
      <c r="Q30">
        <f t="shared" si="11"/>
        <v>5.4352071865619099E-2</v>
      </c>
    </row>
    <row r="31" spans="1:17" x14ac:dyDescent="0.25">
      <c r="A31">
        <v>63</v>
      </c>
      <c r="B31">
        <f t="shared" si="13"/>
        <v>-43.96</v>
      </c>
      <c r="C31" s="4">
        <f t="shared" si="1"/>
        <v>419.99999999999994</v>
      </c>
      <c r="D31">
        <f>1171.5*1.2</f>
        <v>1405.8</v>
      </c>
      <c r="E31" s="4">
        <f t="shared" si="2"/>
        <v>0.13200000000000001</v>
      </c>
      <c r="F31">
        <v>-975.17741000000001</v>
      </c>
      <c r="G31">
        <v>97397.369000000006</v>
      </c>
      <c r="H31">
        <f t="shared" si="3"/>
        <v>21.000789216207956</v>
      </c>
      <c r="I31">
        <f t="shared" si="4"/>
        <v>191.50825162560594</v>
      </c>
      <c r="J31">
        <f t="shared" si="5"/>
        <v>7.6769240172325462E-2</v>
      </c>
      <c r="K31" s="5">
        <v>14.810532727214101</v>
      </c>
      <c r="L31" s="5">
        <f t="shared" si="6"/>
        <v>1.8931931493724252</v>
      </c>
      <c r="M31">
        <f t="shared" si="7"/>
        <v>26082.219108000005</v>
      </c>
      <c r="N31">
        <f t="shared" si="8"/>
        <v>42868.798943599999</v>
      </c>
      <c r="O31" s="5">
        <f t="shared" si="9"/>
        <v>0.60841963737577232</v>
      </c>
      <c r="P31">
        <f t="shared" si="10"/>
        <v>-0.29476304082021587</v>
      </c>
      <c r="Q31">
        <f t="shared" si="11"/>
        <v>8.688525023358025E-2</v>
      </c>
    </row>
    <row r="32" spans="1:17" x14ac:dyDescent="0.25">
      <c r="A32">
        <v>64</v>
      </c>
      <c r="B32">
        <f t="shared" si="13"/>
        <v>-43.96</v>
      </c>
      <c r="C32" s="4">
        <f t="shared" si="1"/>
        <v>419.99999999999994</v>
      </c>
      <c r="D32">
        <f>1171.5*1.3</f>
        <v>1522.95</v>
      </c>
      <c r="E32" s="4">
        <f t="shared" si="2"/>
        <v>0.14300000000000002</v>
      </c>
      <c r="F32">
        <v>-1041.6847</v>
      </c>
      <c r="G32">
        <v>113914.41</v>
      </c>
      <c r="H32">
        <f t="shared" si="3"/>
        <v>22.713010860142415</v>
      </c>
      <c r="I32">
        <f t="shared" si="4"/>
        <v>182.18621755201207</v>
      </c>
      <c r="J32">
        <f t="shared" si="5"/>
        <v>9.4707293720390745E-2</v>
      </c>
      <c r="K32" s="5">
        <v>14.658764604228599</v>
      </c>
      <c r="L32" s="5">
        <f t="shared" si="6"/>
        <v>2.0514478298361598</v>
      </c>
      <c r="M32">
        <f t="shared" si="7"/>
        <v>30617.674230000001</v>
      </c>
      <c r="N32">
        <f t="shared" si="8"/>
        <v>45792.459412000004</v>
      </c>
      <c r="O32" s="5">
        <f t="shared" si="9"/>
        <v>0.66861825337943259</v>
      </c>
      <c r="P32">
        <f t="shared" si="10"/>
        <v>-0.3546093604898366</v>
      </c>
      <c r="Q32">
        <f t="shared" si="11"/>
        <v>0.12574779854701088</v>
      </c>
    </row>
    <row r="33" spans="1:17" x14ac:dyDescent="0.25">
      <c r="A33">
        <v>65</v>
      </c>
      <c r="B33">
        <f t="shared" si="13"/>
        <v>-43.96</v>
      </c>
      <c r="C33" s="4">
        <f t="shared" si="1"/>
        <v>419.99999999999994</v>
      </c>
      <c r="D33">
        <f>1171.5*1.4</f>
        <v>1640.1</v>
      </c>
      <c r="E33" s="4">
        <f t="shared" si="2"/>
        <v>0.154</v>
      </c>
      <c r="F33">
        <v>-1134.4346</v>
      </c>
      <c r="G33">
        <v>131369.95000000001</v>
      </c>
      <c r="H33">
        <f t="shared" si="3"/>
        <v>24.43413372048327</v>
      </c>
      <c r="I33">
        <f t="shared" si="4"/>
        <v>188.27733159099961</v>
      </c>
      <c r="J33">
        <f t="shared" si="5"/>
        <v>0.10628458431061233</v>
      </c>
      <c r="K33" s="5">
        <v>15.0505311255595</v>
      </c>
      <c r="L33" s="5">
        <f t="shared" si="6"/>
        <v>2.2186945482418321</v>
      </c>
      <c r="M33">
        <f t="shared" si="7"/>
        <v>35661.033100000008</v>
      </c>
      <c r="N33">
        <f t="shared" si="8"/>
        <v>49869.745016000001</v>
      </c>
      <c r="O33" s="5">
        <f t="shared" si="9"/>
        <v>0.71508352586440282</v>
      </c>
      <c r="P33">
        <f t="shared" si="10"/>
        <v>-0.38403663916504821</v>
      </c>
      <c r="Q33">
        <f t="shared" si="11"/>
        <v>0.14748414022118544</v>
      </c>
    </row>
    <row r="34" spans="1:17" x14ac:dyDescent="0.25">
      <c r="A34">
        <v>66</v>
      </c>
      <c r="B34">
        <f t="shared" si="13"/>
        <v>-43.96</v>
      </c>
      <c r="C34" s="4">
        <f t="shared" ref="C34:C65" si="14">-60*B34/2/3.14</f>
        <v>419.99999999999994</v>
      </c>
      <c r="D34">
        <f>1171.5*1.5</f>
        <v>1757.25</v>
      </c>
      <c r="E34" s="4">
        <f t="shared" ref="E34:E65" si="15">D34/10650</f>
        <v>0.16500000000000001</v>
      </c>
      <c r="F34">
        <v>-1233.7076999999999</v>
      </c>
      <c r="G34">
        <v>129549.52</v>
      </c>
      <c r="H34">
        <f t="shared" ref="H34:H65" si="16">SQRT(E34^2/0.034426^2/0.0364641+4*9.8^2*L34^2/B34^2/0.159967^2+10)</f>
        <v>26.031248224959818</v>
      </c>
      <c r="I34">
        <f t="shared" ref="I34:I65" si="17">K34^2-4*9.8^2*L34^2/B34^2/0.159967^2</f>
        <v>174.43894138050084</v>
      </c>
      <c r="J34">
        <f t="shared" ref="J34:J65" si="18">E34^2/0.034426^2/I34</f>
        <v>0.13168955108014671</v>
      </c>
      <c r="K34" s="5">
        <v>14.563007967206101</v>
      </c>
      <c r="L34" s="5">
        <f t="shared" ref="L34:L65" si="19">G34/10650/9.8+0.61+0.35</f>
        <v>2.201252467184057</v>
      </c>
      <c r="M34">
        <f t="shared" ref="M34:M65" si="20">D34*L34*9.8</f>
        <v>37907.878800000006</v>
      </c>
      <c r="N34">
        <f t="shared" ref="N34:N65" si="21">F34*B34</f>
        <v>54233.790492</v>
      </c>
      <c r="O34" s="5">
        <f t="shared" ref="O34:O65" si="22">M34/N34</f>
        <v>0.69897159051775626</v>
      </c>
      <c r="P34">
        <f t="shared" ref="P34:P65" si="23">(K34-H34)/H34</f>
        <v>-0.44055667859820502</v>
      </c>
      <c r="Q34">
        <f t="shared" ref="Q34:Q65" si="24">P34^2</f>
        <v>0.19409018705748213</v>
      </c>
    </row>
    <row r="35" spans="1:17" x14ac:dyDescent="0.25">
      <c r="A35">
        <v>67</v>
      </c>
      <c r="B35">
        <f t="shared" ref="B35:B45" si="25">-43.96*1.1</f>
        <v>-48.356000000000002</v>
      </c>
      <c r="C35" s="4">
        <f t="shared" si="14"/>
        <v>462</v>
      </c>
      <c r="D35">
        <f>1171.5*0.5</f>
        <v>585.75</v>
      </c>
      <c r="E35" s="4">
        <f t="shared" si="15"/>
        <v>5.5E-2</v>
      </c>
      <c r="F35">
        <v>-556.59789000000001</v>
      </c>
      <c r="G35">
        <v>62434.459000000003</v>
      </c>
      <c r="H35">
        <f t="shared" si="16"/>
        <v>9.7768338413536675</v>
      </c>
      <c r="I35">
        <f t="shared" si="17"/>
        <v>140.14493377591987</v>
      </c>
      <c r="J35">
        <f t="shared" si="18"/>
        <v>1.8212721535537209E-2</v>
      </c>
      <c r="K35" s="5">
        <v>12.4793122102104</v>
      </c>
      <c r="L35" s="5">
        <f t="shared" si="19"/>
        <v>1.5582031139216248</v>
      </c>
      <c r="M35">
        <f t="shared" si="20"/>
        <v>8944.6312450000005</v>
      </c>
      <c r="N35">
        <f t="shared" si="21"/>
        <v>26914.847568839999</v>
      </c>
      <c r="O35" s="5">
        <f t="shared" si="22"/>
        <v>0.33233074131749596</v>
      </c>
      <c r="P35">
        <f t="shared" si="23"/>
        <v>0.27641651813963497</v>
      </c>
      <c r="Q35">
        <f t="shared" si="24"/>
        <v>7.6406091500439144E-2</v>
      </c>
    </row>
    <row r="36" spans="1:17" x14ac:dyDescent="0.25">
      <c r="A36">
        <v>68</v>
      </c>
      <c r="B36">
        <f t="shared" si="25"/>
        <v>-48.356000000000002</v>
      </c>
      <c r="C36" s="4">
        <f t="shared" si="14"/>
        <v>462</v>
      </c>
      <c r="D36">
        <f>1171.5*0.6</f>
        <v>702.9</v>
      </c>
      <c r="E36" s="4">
        <f t="shared" si="15"/>
        <v>6.6000000000000003E-2</v>
      </c>
      <c r="F36">
        <v>-621.21578999999997</v>
      </c>
      <c r="G36">
        <v>59361.146999999997</v>
      </c>
      <c r="H36">
        <f t="shared" si="16"/>
        <v>11.216152773411313</v>
      </c>
      <c r="I36">
        <f t="shared" si="17"/>
        <v>140.71585773808192</v>
      </c>
      <c r="J36">
        <f t="shared" si="18"/>
        <v>2.6119911430653019E-2</v>
      </c>
      <c r="K36" s="5">
        <v>12.478804464300801</v>
      </c>
      <c r="L36" s="5">
        <f t="shared" si="19"/>
        <v>1.5287567979304395</v>
      </c>
      <c r="M36">
        <f t="shared" si="20"/>
        <v>10530.718901999997</v>
      </c>
      <c r="N36">
        <f t="shared" si="21"/>
        <v>30039.510741239999</v>
      </c>
      <c r="O36" s="5">
        <f t="shared" si="22"/>
        <v>0.35056226423630826</v>
      </c>
      <c r="P36">
        <f t="shared" si="23"/>
        <v>0.11257440197165407</v>
      </c>
      <c r="Q36">
        <f t="shared" si="24"/>
        <v>1.2672995979275551E-2</v>
      </c>
    </row>
    <row r="37" spans="1:17" x14ac:dyDescent="0.25">
      <c r="A37">
        <v>69</v>
      </c>
      <c r="B37">
        <f t="shared" si="25"/>
        <v>-48.356000000000002</v>
      </c>
      <c r="C37" s="4">
        <f t="shared" si="14"/>
        <v>462</v>
      </c>
      <c r="D37">
        <f>1171.5*0.7</f>
        <v>820.05</v>
      </c>
      <c r="E37" s="4">
        <f t="shared" si="15"/>
        <v>7.6999999999999999E-2</v>
      </c>
      <c r="F37">
        <v>-689.66575</v>
      </c>
      <c r="G37">
        <v>67651.573999999993</v>
      </c>
      <c r="H37">
        <f t="shared" si="16"/>
        <v>12.798473036516159</v>
      </c>
      <c r="I37">
        <f t="shared" si="17"/>
        <v>145.12755187462531</v>
      </c>
      <c r="J37">
        <f t="shared" si="18"/>
        <v>3.4471362716412483E-2</v>
      </c>
      <c r="K37" s="5">
        <v>12.7173908552836</v>
      </c>
      <c r="L37" s="5">
        <f t="shared" si="19"/>
        <v>1.6081898438248539</v>
      </c>
      <c r="M37">
        <f t="shared" si="20"/>
        <v>12924.201598</v>
      </c>
      <c r="N37">
        <f t="shared" si="21"/>
        <v>33349.477007000001</v>
      </c>
      <c r="O37" s="5">
        <f t="shared" si="22"/>
        <v>0.38753835915589413</v>
      </c>
      <c r="P37">
        <f t="shared" si="23"/>
        <v>-6.335301172352148E-3</v>
      </c>
      <c r="Q37">
        <f t="shared" si="24"/>
        <v>4.0136040944406499E-5</v>
      </c>
    </row>
    <row r="38" spans="1:17" x14ac:dyDescent="0.25">
      <c r="A38">
        <v>70</v>
      </c>
      <c r="B38">
        <f t="shared" si="25"/>
        <v>-48.356000000000002</v>
      </c>
      <c r="C38" s="4">
        <f t="shared" si="14"/>
        <v>462</v>
      </c>
      <c r="D38">
        <f>1171.5*0.8</f>
        <v>937.2</v>
      </c>
      <c r="E38" s="4">
        <f t="shared" si="15"/>
        <v>8.8000000000000009E-2</v>
      </c>
      <c r="F38">
        <v>-764.90224999999998</v>
      </c>
      <c r="G38">
        <v>75793.826000000001</v>
      </c>
      <c r="H38">
        <f t="shared" si="16"/>
        <v>14.403119866079599</v>
      </c>
      <c r="I38">
        <f t="shared" si="17"/>
        <v>246.67634125995716</v>
      </c>
      <c r="J38">
        <f t="shared" si="18"/>
        <v>2.6488948390942228E-2</v>
      </c>
      <c r="K38" s="5">
        <v>16.276696872005001</v>
      </c>
      <c r="L38" s="5">
        <f t="shared" si="19"/>
        <v>1.6862031809907063</v>
      </c>
      <c r="M38">
        <f t="shared" si="20"/>
        <v>15487.034288000003</v>
      </c>
      <c r="N38">
        <f t="shared" si="21"/>
        <v>36987.613201</v>
      </c>
      <c r="O38" s="5">
        <f t="shared" si="22"/>
        <v>0.41870866886813052</v>
      </c>
      <c r="P38">
        <f t="shared" si="23"/>
        <v>0.13008133122170373</v>
      </c>
      <c r="Q38">
        <f t="shared" si="24"/>
        <v>1.6921152732410596E-2</v>
      </c>
    </row>
    <row r="39" spans="1:17" x14ac:dyDescent="0.25">
      <c r="A39">
        <v>71</v>
      </c>
      <c r="B39">
        <f t="shared" si="25"/>
        <v>-48.356000000000002</v>
      </c>
      <c r="C39" s="4">
        <f t="shared" si="14"/>
        <v>462</v>
      </c>
      <c r="D39">
        <f>1171.5*0.9</f>
        <v>1054.3500000000001</v>
      </c>
      <c r="E39" s="4">
        <f t="shared" si="15"/>
        <v>9.9000000000000019E-2</v>
      </c>
      <c r="F39">
        <v>-845.07901000000004</v>
      </c>
      <c r="G39">
        <v>71200.770999999993</v>
      </c>
      <c r="H39">
        <f t="shared" si="16"/>
        <v>15.940772443169429</v>
      </c>
      <c r="I39">
        <f t="shared" si="17"/>
        <v>230.09969091309421</v>
      </c>
      <c r="J39">
        <f t="shared" si="18"/>
        <v>3.5940260868882815E-2</v>
      </c>
      <c r="K39" s="5">
        <v>15.729393255502901</v>
      </c>
      <c r="L39" s="5">
        <f t="shared" si="19"/>
        <v>1.6421957554852926</v>
      </c>
      <c r="M39">
        <f t="shared" si="20"/>
        <v>16968.201129000001</v>
      </c>
      <c r="N39">
        <f t="shared" si="21"/>
        <v>40864.640607560003</v>
      </c>
      <c r="O39" s="5">
        <f t="shared" si="22"/>
        <v>0.41522942271663749</v>
      </c>
      <c r="P39">
        <f t="shared" si="23"/>
        <v>-1.3260285122325037E-2</v>
      </c>
      <c r="Q39">
        <f t="shared" si="24"/>
        <v>1.7583516152535472E-4</v>
      </c>
    </row>
    <row r="40" spans="1:17" x14ac:dyDescent="0.25">
      <c r="A40">
        <v>72</v>
      </c>
      <c r="B40">
        <f t="shared" si="25"/>
        <v>-48.356000000000002</v>
      </c>
      <c r="C40" s="4">
        <f t="shared" si="14"/>
        <v>462</v>
      </c>
      <c r="D40">
        <f>1171.5*1</f>
        <v>1171.5</v>
      </c>
      <c r="E40" s="4">
        <f t="shared" si="15"/>
        <v>0.11</v>
      </c>
      <c r="F40">
        <v>-949.52850000000001</v>
      </c>
      <c r="G40">
        <v>107203.59</v>
      </c>
      <c r="H40">
        <f t="shared" si="16"/>
        <v>17.757947228469103</v>
      </c>
      <c r="I40">
        <f t="shared" si="17"/>
        <v>276.0268781626047</v>
      </c>
      <c r="J40">
        <f t="shared" si="18"/>
        <v>3.6988001610097201E-2</v>
      </c>
      <c r="K40" s="5">
        <v>17.3602662981272</v>
      </c>
      <c r="L40" s="5">
        <f t="shared" si="19"/>
        <v>1.9871494682379995</v>
      </c>
      <c r="M40">
        <f t="shared" si="20"/>
        <v>22813.866900000005</v>
      </c>
      <c r="N40">
        <f t="shared" si="21"/>
        <v>45915.400146</v>
      </c>
      <c r="O40" s="5">
        <f t="shared" si="22"/>
        <v>0.496867430697704</v>
      </c>
      <c r="P40">
        <f t="shared" si="23"/>
        <v>-2.2394532725288775E-2</v>
      </c>
      <c r="Q40">
        <f t="shared" si="24"/>
        <v>5.0151509598402987E-4</v>
      </c>
    </row>
    <row r="41" spans="1:17" x14ac:dyDescent="0.25">
      <c r="A41">
        <v>73</v>
      </c>
      <c r="B41">
        <f t="shared" si="25"/>
        <v>-48.356000000000002</v>
      </c>
      <c r="C41" s="4">
        <f t="shared" si="14"/>
        <v>462</v>
      </c>
      <c r="D41">
        <f>1171.5*1.1</f>
        <v>1288.6500000000001</v>
      </c>
      <c r="E41" s="4">
        <f t="shared" si="15"/>
        <v>0.12100000000000001</v>
      </c>
      <c r="F41">
        <v>-1006.0196</v>
      </c>
      <c r="G41">
        <v>95247.585999999996</v>
      </c>
      <c r="H41">
        <f t="shared" si="16"/>
        <v>19.269262074041926</v>
      </c>
      <c r="I41">
        <f t="shared" si="17"/>
        <v>249.26788646736028</v>
      </c>
      <c r="J41">
        <f t="shared" si="18"/>
        <v>4.9559998032265358E-2</v>
      </c>
      <c r="K41" s="5">
        <v>16.4857864155097</v>
      </c>
      <c r="L41" s="5">
        <f t="shared" si="19"/>
        <v>1.8725954393024815</v>
      </c>
      <c r="M41">
        <f t="shared" si="20"/>
        <v>23648.577106000001</v>
      </c>
      <c r="N41">
        <f t="shared" si="21"/>
        <v>48647.083777599997</v>
      </c>
      <c r="O41" s="5">
        <f t="shared" si="22"/>
        <v>0.48612527760377711</v>
      </c>
      <c r="P41">
        <f t="shared" si="23"/>
        <v>-0.14445159590630668</v>
      </c>
      <c r="Q41">
        <f t="shared" si="24"/>
        <v>2.0866263559878917E-2</v>
      </c>
    </row>
    <row r="42" spans="1:17" x14ac:dyDescent="0.25">
      <c r="A42">
        <v>74</v>
      </c>
      <c r="B42">
        <f t="shared" si="25"/>
        <v>-48.356000000000002</v>
      </c>
      <c r="C42" s="4">
        <f t="shared" si="14"/>
        <v>462</v>
      </c>
      <c r="D42">
        <f>1171.5*1.2</f>
        <v>1405.8</v>
      </c>
      <c r="E42" s="4">
        <f t="shared" si="15"/>
        <v>0.13200000000000001</v>
      </c>
      <c r="F42">
        <v>-1104.2457999999999</v>
      </c>
      <c r="G42">
        <v>127481.64</v>
      </c>
      <c r="H42">
        <f t="shared" si="16"/>
        <v>21.06516864142289</v>
      </c>
      <c r="I42">
        <f t="shared" si="17"/>
        <v>229.59206172213288</v>
      </c>
      <c r="J42">
        <f t="shared" si="18"/>
        <v>6.4035066603572374E-2</v>
      </c>
      <c r="K42" s="5">
        <v>16.128976159335</v>
      </c>
      <c r="L42" s="5">
        <f t="shared" si="19"/>
        <v>2.1814394941075022</v>
      </c>
      <c r="M42">
        <f t="shared" si="20"/>
        <v>30053.342880000004</v>
      </c>
      <c r="N42">
        <f t="shared" si="21"/>
        <v>53396.909904799999</v>
      </c>
      <c r="O42" s="5">
        <f t="shared" si="22"/>
        <v>0.56282925235901005</v>
      </c>
      <c r="P42">
        <f t="shared" si="23"/>
        <v>-0.23432959717119381</v>
      </c>
      <c r="Q42">
        <f t="shared" si="24"/>
        <v>5.4910360110413961E-2</v>
      </c>
    </row>
    <row r="43" spans="1:17" x14ac:dyDescent="0.25">
      <c r="A43">
        <v>75</v>
      </c>
      <c r="B43">
        <f t="shared" si="25"/>
        <v>-48.356000000000002</v>
      </c>
      <c r="C43" s="4">
        <f t="shared" si="14"/>
        <v>462</v>
      </c>
      <c r="D43">
        <f>1171.5*1.3</f>
        <v>1522.95</v>
      </c>
      <c r="E43" s="4">
        <f t="shared" si="15"/>
        <v>0.14300000000000002</v>
      </c>
      <c r="F43">
        <v>-1149.2230999999999</v>
      </c>
      <c r="G43">
        <v>109954.09</v>
      </c>
      <c r="H43">
        <f t="shared" si="16"/>
        <v>22.565827191121098</v>
      </c>
      <c r="I43">
        <f t="shared" si="17"/>
        <v>233.8084048443277</v>
      </c>
      <c r="J43">
        <f t="shared" si="18"/>
        <v>7.3797020380826639E-2</v>
      </c>
      <c r="K43" s="5">
        <v>16.119468400077398</v>
      </c>
      <c r="L43" s="5">
        <f t="shared" si="19"/>
        <v>2.0135028264827057</v>
      </c>
      <c r="M43">
        <f t="shared" si="20"/>
        <v>30051.348470000004</v>
      </c>
      <c r="N43">
        <f t="shared" si="21"/>
        <v>55571.832223600002</v>
      </c>
      <c r="O43" s="5">
        <f t="shared" si="22"/>
        <v>0.54076583887111662</v>
      </c>
      <c r="P43">
        <f t="shared" si="23"/>
        <v>-0.28566906661326058</v>
      </c>
      <c r="Q43">
        <f t="shared" si="24"/>
        <v>8.1606815619691506E-2</v>
      </c>
    </row>
    <row r="44" spans="1:17" x14ac:dyDescent="0.25">
      <c r="A44">
        <v>76</v>
      </c>
      <c r="B44">
        <f t="shared" si="25"/>
        <v>-48.356000000000002</v>
      </c>
      <c r="C44" s="4">
        <f t="shared" si="14"/>
        <v>462</v>
      </c>
      <c r="D44">
        <f>1171.5*1.4</f>
        <v>1640.1</v>
      </c>
      <c r="E44" s="4">
        <f t="shared" si="15"/>
        <v>0.154</v>
      </c>
      <c r="F44">
        <v>-1222.4078999999999</v>
      </c>
      <c r="G44">
        <v>129386.37</v>
      </c>
      <c r="H44">
        <f t="shared" si="16"/>
        <v>24.286845670570397</v>
      </c>
      <c r="I44">
        <f t="shared" si="17"/>
        <v>181.90474341880525</v>
      </c>
      <c r="J44">
        <f t="shared" si="18"/>
        <v>0.11000800499846659</v>
      </c>
      <c r="K44" s="5">
        <v>14.593487621020801</v>
      </c>
      <c r="L44" s="5">
        <f t="shared" si="19"/>
        <v>2.1996892785283126</v>
      </c>
      <c r="M44">
        <f t="shared" si="20"/>
        <v>35355.561779999996</v>
      </c>
      <c r="N44">
        <f t="shared" si="21"/>
        <v>59110.756412399998</v>
      </c>
      <c r="O44" s="5">
        <f t="shared" si="22"/>
        <v>0.59812399512084846</v>
      </c>
      <c r="P44">
        <f t="shared" si="23"/>
        <v>-0.39911967906542634</v>
      </c>
      <c r="Q44">
        <f t="shared" si="24"/>
        <v>0.15929651821728891</v>
      </c>
    </row>
    <row r="45" spans="1:17" x14ac:dyDescent="0.25">
      <c r="A45">
        <v>77</v>
      </c>
      <c r="B45">
        <f t="shared" si="25"/>
        <v>-48.356000000000002</v>
      </c>
      <c r="C45" s="4">
        <f t="shared" si="14"/>
        <v>462</v>
      </c>
      <c r="D45">
        <f>1171.5*1.5</f>
        <v>1757.25</v>
      </c>
      <c r="E45" s="4">
        <f t="shared" si="15"/>
        <v>0.16500000000000001</v>
      </c>
      <c r="F45">
        <v>-1331.4138</v>
      </c>
      <c r="G45">
        <v>149902.19</v>
      </c>
      <c r="H45">
        <f t="shared" si="16"/>
        <v>26.016319996377039</v>
      </c>
      <c r="I45">
        <f t="shared" si="17"/>
        <v>208.18481908742677</v>
      </c>
      <c r="J45">
        <f t="shared" si="18"/>
        <v>0.11034323243159835</v>
      </c>
      <c r="K45" s="5">
        <v>15.654076170897101</v>
      </c>
      <c r="L45" s="5">
        <f t="shared" si="19"/>
        <v>2.3962574494586568</v>
      </c>
      <c r="M45">
        <f t="shared" si="20"/>
        <v>41266.069350000005</v>
      </c>
      <c r="N45">
        <f t="shared" si="21"/>
        <v>64381.845712800001</v>
      </c>
      <c r="O45" s="5">
        <f t="shared" si="22"/>
        <v>0.64095815975955683</v>
      </c>
      <c r="P45">
        <f t="shared" si="23"/>
        <v>-0.39829783101233979</v>
      </c>
      <c r="Q45">
        <f t="shared" si="24"/>
        <v>0.15864116218913438</v>
      </c>
    </row>
    <row r="46" spans="1:17" x14ac:dyDescent="0.25">
      <c r="A46">
        <v>78</v>
      </c>
      <c r="B46">
        <f t="shared" ref="B46:B56" si="26">-43.96*1.2</f>
        <v>-52.752000000000002</v>
      </c>
      <c r="C46" s="4">
        <f t="shared" si="14"/>
        <v>504.00000000000006</v>
      </c>
      <c r="D46">
        <f>1171.5*0.5</f>
        <v>585.75</v>
      </c>
      <c r="E46" s="4">
        <f t="shared" si="15"/>
        <v>5.5E-2</v>
      </c>
      <c r="F46">
        <v>-633.12141999999994</v>
      </c>
      <c r="G46">
        <v>73717.581000000006</v>
      </c>
      <c r="H46">
        <f t="shared" si="16"/>
        <v>9.7456277193637231</v>
      </c>
      <c r="I46">
        <f t="shared" si="17"/>
        <v>168.15301736528613</v>
      </c>
      <c r="J46">
        <f t="shared" si="18"/>
        <v>1.5179154638256635E-2</v>
      </c>
      <c r="K46" s="5">
        <v>13.532630805289299</v>
      </c>
      <c r="L46" s="5">
        <f t="shared" si="19"/>
        <v>1.6663100603621732</v>
      </c>
      <c r="M46">
        <f t="shared" si="20"/>
        <v>9565.2029550000007</v>
      </c>
      <c r="N46">
        <f t="shared" si="21"/>
        <v>33398.421147839996</v>
      </c>
      <c r="O46" s="5">
        <f t="shared" si="22"/>
        <v>0.2863968602784871</v>
      </c>
      <c r="P46">
        <f t="shared" si="23"/>
        <v>0.38858482952320528</v>
      </c>
      <c r="Q46">
        <f t="shared" si="24"/>
        <v>0.1509981697355785</v>
      </c>
    </row>
    <row r="47" spans="1:17" x14ac:dyDescent="0.25">
      <c r="A47">
        <v>79</v>
      </c>
      <c r="B47">
        <f t="shared" si="26"/>
        <v>-52.752000000000002</v>
      </c>
      <c r="C47" s="4">
        <f t="shared" si="14"/>
        <v>504.00000000000006</v>
      </c>
      <c r="D47">
        <f>1171.5*0.6</f>
        <v>702.9</v>
      </c>
      <c r="E47" s="4">
        <f t="shared" si="15"/>
        <v>6.6000000000000003E-2</v>
      </c>
      <c r="F47">
        <v>-712.76787000000002</v>
      </c>
      <c r="G47">
        <v>76577.87</v>
      </c>
      <c r="H47">
        <f t="shared" si="16"/>
        <v>11.23713590051231</v>
      </c>
      <c r="I47">
        <f t="shared" si="17"/>
        <v>184.30404451186419</v>
      </c>
      <c r="J47">
        <f t="shared" si="18"/>
        <v>1.9942512660217113E-2</v>
      </c>
      <c r="K47" s="5">
        <v>14.1343513413993</v>
      </c>
      <c r="L47" s="5">
        <f t="shared" si="19"/>
        <v>1.6937153396569893</v>
      </c>
      <c r="M47">
        <f t="shared" si="20"/>
        <v>11667.02262</v>
      </c>
      <c r="N47">
        <f t="shared" si="21"/>
        <v>37599.930678240002</v>
      </c>
      <c r="O47" s="5">
        <f t="shared" si="22"/>
        <v>0.31029372686455486</v>
      </c>
      <c r="P47">
        <f t="shared" si="23"/>
        <v>0.25782507807482363</v>
      </c>
      <c r="Q47">
        <f t="shared" si="24"/>
        <v>6.6473770884288907E-2</v>
      </c>
    </row>
    <row r="48" spans="1:17" x14ac:dyDescent="0.25">
      <c r="A48">
        <v>80</v>
      </c>
      <c r="B48">
        <f t="shared" si="26"/>
        <v>-52.752000000000002</v>
      </c>
      <c r="C48" s="4">
        <f t="shared" si="14"/>
        <v>504.00000000000006</v>
      </c>
      <c r="D48">
        <f>1171.5*0.7</f>
        <v>820.05</v>
      </c>
      <c r="E48" s="4">
        <f t="shared" si="15"/>
        <v>7.6999999999999999E-2</v>
      </c>
      <c r="F48">
        <v>-785.57757000000004</v>
      </c>
      <c r="G48">
        <v>77623.664999999994</v>
      </c>
      <c r="H48">
        <f t="shared" si="16"/>
        <v>12.761501866759454</v>
      </c>
      <c r="I48">
        <f t="shared" si="17"/>
        <v>168.72577207213664</v>
      </c>
      <c r="J48">
        <f t="shared" si="18"/>
        <v>2.9650150177865629E-2</v>
      </c>
      <c r="K48" s="5">
        <v>13.578853714229201</v>
      </c>
      <c r="L48" s="5">
        <f t="shared" si="19"/>
        <v>1.7037354124748489</v>
      </c>
      <c r="M48">
        <f t="shared" si="20"/>
        <v>13692.052605000001</v>
      </c>
      <c r="N48">
        <f t="shared" si="21"/>
        <v>41440.787972640006</v>
      </c>
      <c r="O48" s="5">
        <f t="shared" si="22"/>
        <v>0.33040039233905866</v>
      </c>
      <c r="P48">
        <f t="shared" si="23"/>
        <v>6.4048248866283131E-2</v>
      </c>
      <c r="Q48">
        <f t="shared" si="24"/>
        <v>4.1021781828373387E-3</v>
      </c>
    </row>
    <row r="49" spans="1:17" x14ac:dyDescent="0.25">
      <c r="A49">
        <v>81</v>
      </c>
      <c r="B49">
        <f t="shared" si="26"/>
        <v>-52.752000000000002</v>
      </c>
      <c r="C49" s="4">
        <f t="shared" si="14"/>
        <v>504.00000000000006</v>
      </c>
      <c r="D49">
        <f>1171.5*0.8</f>
        <v>937.2</v>
      </c>
      <c r="E49" s="4">
        <f t="shared" si="15"/>
        <v>8.8000000000000009E-2</v>
      </c>
      <c r="F49">
        <v>-847.10258999999996</v>
      </c>
      <c r="G49">
        <v>84974.907000000007</v>
      </c>
      <c r="H49">
        <f t="shared" si="16"/>
        <v>14.358842776533935</v>
      </c>
      <c r="I49">
        <f t="shared" si="17"/>
        <v>200.12231592655718</v>
      </c>
      <c r="J49">
        <f t="shared" si="18"/>
        <v>3.2651015668334768E-2</v>
      </c>
      <c r="K49" s="5">
        <v>14.734427024295901</v>
      </c>
      <c r="L49" s="5">
        <f t="shared" si="19"/>
        <v>1.7741698476573728</v>
      </c>
      <c r="M49">
        <f t="shared" si="20"/>
        <v>16294.969416000004</v>
      </c>
      <c r="N49">
        <f t="shared" si="21"/>
        <v>44686.355827680003</v>
      </c>
      <c r="O49" s="5">
        <f t="shared" si="22"/>
        <v>0.36465200874371667</v>
      </c>
      <c r="P49">
        <f t="shared" si="23"/>
        <v>2.6156999808909908E-2</v>
      </c>
      <c r="Q49">
        <f t="shared" si="24"/>
        <v>6.8418863900331301E-4</v>
      </c>
    </row>
    <row r="50" spans="1:17" x14ac:dyDescent="0.25">
      <c r="A50">
        <v>82</v>
      </c>
      <c r="B50">
        <f t="shared" si="26"/>
        <v>-52.752000000000002</v>
      </c>
      <c r="C50" s="4">
        <f t="shared" si="14"/>
        <v>504.00000000000006</v>
      </c>
      <c r="D50">
        <f>1171.5*0.9</f>
        <v>1054.3500000000001</v>
      </c>
      <c r="E50" s="4">
        <f t="shared" si="15"/>
        <v>9.9000000000000019E-2</v>
      </c>
      <c r="F50">
        <v>-939.40688</v>
      </c>
      <c r="G50">
        <v>88692.717000000004</v>
      </c>
      <c r="H50">
        <f t="shared" si="16"/>
        <v>15.951923316030156</v>
      </c>
      <c r="I50">
        <f t="shared" si="17"/>
        <v>332.74522382018228</v>
      </c>
      <c r="J50">
        <f t="shared" si="18"/>
        <v>2.4853378276392595E-2</v>
      </c>
      <c r="K50" s="5">
        <v>18.719374361579099</v>
      </c>
      <c r="L50" s="5">
        <f t="shared" si="19"/>
        <v>1.8097912906007472</v>
      </c>
      <c r="M50">
        <f t="shared" si="20"/>
        <v>18699.903783000002</v>
      </c>
      <c r="N50">
        <f t="shared" si="21"/>
        <v>49555.591733760004</v>
      </c>
      <c r="O50" s="5">
        <f t="shared" si="22"/>
        <v>0.37735204300386943</v>
      </c>
      <c r="P50">
        <f t="shared" si="23"/>
        <v>0.17348698277454233</v>
      </c>
      <c r="Q50">
        <f t="shared" si="24"/>
        <v>3.0097733192214347E-2</v>
      </c>
    </row>
    <row r="51" spans="1:17" x14ac:dyDescent="0.25">
      <c r="A51">
        <v>83</v>
      </c>
      <c r="B51">
        <f t="shared" si="26"/>
        <v>-52.752000000000002</v>
      </c>
      <c r="C51" s="4">
        <f t="shared" si="14"/>
        <v>504.00000000000006</v>
      </c>
      <c r="D51">
        <f>1171.5*1</f>
        <v>1171.5</v>
      </c>
      <c r="E51" s="4">
        <f t="shared" si="15"/>
        <v>0.11</v>
      </c>
      <c r="F51">
        <v>-1028.4358999999999</v>
      </c>
      <c r="G51">
        <v>88579.827000000005</v>
      </c>
      <c r="H51">
        <f t="shared" si="16"/>
        <v>17.539708096262576</v>
      </c>
      <c r="I51">
        <f t="shared" si="17"/>
        <v>294.3795188032787</v>
      </c>
      <c r="J51">
        <f t="shared" si="18"/>
        <v>3.4682041248702576E-2</v>
      </c>
      <c r="K51" s="5">
        <v>17.664318750395399</v>
      </c>
      <c r="L51" s="5">
        <f t="shared" si="19"/>
        <v>1.808709657947686</v>
      </c>
      <c r="M51">
        <f t="shared" si="20"/>
        <v>20765.252970000001</v>
      </c>
      <c r="N51">
        <f t="shared" si="21"/>
        <v>54252.0505968</v>
      </c>
      <c r="O51" s="5">
        <f t="shared" si="22"/>
        <v>0.38275517222983674</v>
      </c>
      <c r="P51">
        <f t="shared" si="23"/>
        <v>7.1044884811609617E-3</v>
      </c>
      <c r="Q51">
        <f t="shared" si="24"/>
        <v>5.0473756578948785E-5</v>
      </c>
    </row>
    <row r="52" spans="1:17" x14ac:dyDescent="0.25">
      <c r="A52">
        <v>84</v>
      </c>
      <c r="B52">
        <f t="shared" si="26"/>
        <v>-52.752000000000002</v>
      </c>
      <c r="C52" s="4">
        <f t="shared" si="14"/>
        <v>504.00000000000006</v>
      </c>
      <c r="D52">
        <f>1171.5*1.1</f>
        <v>1288.6500000000001</v>
      </c>
      <c r="E52" s="4">
        <f t="shared" si="15"/>
        <v>0.12100000000000001</v>
      </c>
      <c r="F52">
        <v>-1137.3634999999999</v>
      </c>
      <c r="G52">
        <v>126001.04</v>
      </c>
      <c r="H52">
        <f t="shared" si="16"/>
        <v>19.342450527448602</v>
      </c>
      <c r="I52">
        <f t="shared" si="17"/>
        <v>333.14077607543555</v>
      </c>
      <c r="J52">
        <f t="shared" si="18"/>
        <v>3.7082569442150715E-2</v>
      </c>
      <c r="K52" s="5">
        <v>18.933567410146601</v>
      </c>
      <c r="L52" s="5">
        <f t="shared" si="19"/>
        <v>2.1672534253137874</v>
      </c>
      <c r="M52">
        <f t="shared" si="20"/>
        <v>27369.745040000005</v>
      </c>
      <c r="N52">
        <f t="shared" si="21"/>
        <v>59998.199351999996</v>
      </c>
      <c r="O52" s="5">
        <f t="shared" si="22"/>
        <v>0.45617610754326171</v>
      </c>
      <c r="P52">
        <f t="shared" si="23"/>
        <v>-2.1139157973895817E-2</v>
      </c>
      <c r="Q52">
        <f t="shared" si="24"/>
        <v>4.4686399984532311E-4</v>
      </c>
    </row>
    <row r="53" spans="1:17" x14ac:dyDescent="0.25">
      <c r="A53">
        <v>85</v>
      </c>
      <c r="B53">
        <f t="shared" si="26"/>
        <v>-52.752000000000002</v>
      </c>
      <c r="C53" s="4">
        <f t="shared" si="14"/>
        <v>504.00000000000006</v>
      </c>
      <c r="D53">
        <f>1171.5*1.2</f>
        <v>1405.8</v>
      </c>
      <c r="E53" s="4">
        <f t="shared" si="15"/>
        <v>0.13200000000000001</v>
      </c>
      <c r="F53">
        <v>-1195.6718000000001</v>
      </c>
      <c r="G53">
        <v>112981.72</v>
      </c>
      <c r="H53">
        <f t="shared" si="16"/>
        <v>20.873325936302681</v>
      </c>
      <c r="I53">
        <f t="shared" si="17"/>
        <v>255.0422835692404</v>
      </c>
      <c r="J53">
        <f t="shared" si="18"/>
        <v>5.7645119696542041E-2</v>
      </c>
      <c r="K53" s="5">
        <v>16.6597868998089</v>
      </c>
      <c r="L53" s="5">
        <f t="shared" si="19"/>
        <v>2.0425114496502825</v>
      </c>
      <c r="M53">
        <f t="shared" si="20"/>
        <v>28139.353439999999</v>
      </c>
      <c r="N53">
        <f t="shared" si="21"/>
        <v>63074.078793600005</v>
      </c>
      <c r="O53" s="5">
        <f t="shared" si="22"/>
        <v>0.44613181798630153</v>
      </c>
      <c r="P53">
        <f t="shared" si="23"/>
        <v>-0.20186236967466867</v>
      </c>
      <c r="Q53">
        <f t="shared" si="24"/>
        <v>4.0748416290672593E-2</v>
      </c>
    </row>
    <row r="54" spans="1:17" x14ac:dyDescent="0.25">
      <c r="A54">
        <v>86</v>
      </c>
      <c r="B54">
        <f t="shared" si="26"/>
        <v>-52.752000000000002</v>
      </c>
      <c r="C54" s="4">
        <f t="shared" si="14"/>
        <v>504.00000000000006</v>
      </c>
      <c r="D54">
        <f>1171.5*1.3</f>
        <v>1522.95</v>
      </c>
      <c r="E54" s="4">
        <f t="shared" si="15"/>
        <v>0.14300000000000002</v>
      </c>
      <c r="F54">
        <v>-1288.7822000000001</v>
      </c>
      <c r="G54">
        <v>145115.73000000001</v>
      </c>
      <c r="H54">
        <f t="shared" si="16"/>
        <v>22.64929184158834</v>
      </c>
      <c r="I54">
        <f t="shared" si="17"/>
        <v>269.54841252397318</v>
      </c>
      <c r="J54">
        <f t="shared" si="18"/>
        <v>6.4012113653130281E-2</v>
      </c>
      <c r="K54" s="5">
        <v>17.301766767779501</v>
      </c>
      <c r="L54" s="5">
        <f t="shared" si="19"/>
        <v>2.350396953147456</v>
      </c>
      <c r="M54">
        <f t="shared" si="20"/>
        <v>35079.46299</v>
      </c>
      <c r="N54">
        <f t="shared" si="21"/>
        <v>67985.838614400011</v>
      </c>
      <c r="O54" s="5">
        <f t="shared" si="22"/>
        <v>0.51598191189436704</v>
      </c>
      <c r="P54">
        <f t="shared" si="23"/>
        <v>-0.23610120401158777</v>
      </c>
      <c r="Q54">
        <f t="shared" si="24"/>
        <v>5.5743778535721385E-2</v>
      </c>
    </row>
    <row r="55" spans="1:17" x14ac:dyDescent="0.25">
      <c r="A55">
        <v>87</v>
      </c>
      <c r="B55">
        <f t="shared" si="26"/>
        <v>-52.752000000000002</v>
      </c>
      <c r="C55" s="4">
        <f t="shared" si="14"/>
        <v>504.00000000000006</v>
      </c>
      <c r="D55">
        <f>1171.5*1.4</f>
        <v>1640.1</v>
      </c>
      <c r="E55" s="4">
        <f t="shared" si="15"/>
        <v>0.154</v>
      </c>
      <c r="F55">
        <v>-1362.1357</v>
      </c>
      <c r="G55">
        <v>132464.97</v>
      </c>
      <c r="H55">
        <f t="shared" si="16"/>
        <v>24.199046369041877</v>
      </c>
      <c r="I55">
        <f t="shared" si="17"/>
        <v>353.07348539508376</v>
      </c>
      <c r="J55">
        <f t="shared" si="18"/>
        <v>5.6676524154366158E-2</v>
      </c>
      <c r="K55" s="5">
        <v>19.490551440790501</v>
      </c>
      <c r="L55" s="5">
        <f t="shared" si="19"/>
        <v>2.2291862604196608</v>
      </c>
      <c r="M55">
        <f t="shared" si="20"/>
        <v>35829.66618</v>
      </c>
      <c r="N55">
        <f t="shared" si="21"/>
        <v>71855.382446400006</v>
      </c>
      <c r="O55" s="5">
        <f t="shared" si="22"/>
        <v>0.49863580096768501</v>
      </c>
      <c r="P55">
        <f t="shared" si="23"/>
        <v>-0.19457357353862542</v>
      </c>
      <c r="Q55">
        <f t="shared" si="24"/>
        <v>3.7858875519590877E-2</v>
      </c>
    </row>
    <row r="56" spans="1:17" x14ac:dyDescent="0.25">
      <c r="A56">
        <v>88</v>
      </c>
      <c r="B56">
        <f t="shared" si="26"/>
        <v>-52.752000000000002</v>
      </c>
      <c r="C56" s="4">
        <f t="shared" si="14"/>
        <v>504.00000000000006</v>
      </c>
      <c r="D56">
        <f>1171.5*1.5</f>
        <v>1757.25</v>
      </c>
      <c r="E56" s="4">
        <f t="shared" si="15"/>
        <v>0.16500000000000001</v>
      </c>
      <c r="F56">
        <v>-1419.5924</v>
      </c>
      <c r="G56">
        <v>142611.43</v>
      </c>
      <c r="H56">
        <f t="shared" si="16"/>
        <v>25.868532206220028</v>
      </c>
      <c r="I56">
        <f t="shared" si="17"/>
        <v>281.068873296118</v>
      </c>
      <c r="J56">
        <f t="shared" si="18"/>
        <v>8.1730095587967982E-2</v>
      </c>
      <c r="K56" s="5">
        <v>17.614375019378201</v>
      </c>
      <c r="L56" s="5">
        <f t="shared" si="19"/>
        <v>2.3264025102998946</v>
      </c>
      <c r="M56">
        <f t="shared" si="20"/>
        <v>40063.093950000002</v>
      </c>
      <c r="N56">
        <f t="shared" si="21"/>
        <v>74886.338284800004</v>
      </c>
      <c r="O56" s="5">
        <f t="shared" si="22"/>
        <v>0.53498535070090047</v>
      </c>
      <c r="P56">
        <f t="shared" si="23"/>
        <v>-0.31908100239476028</v>
      </c>
      <c r="Q56">
        <f t="shared" si="24"/>
        <v>0.10181268608924501</v>
      </c>
    </row>
    <row r="57" spans="1:17" x14ac:dyDescent="0.25">
      <c r="A57">
        <v>89</v>
      </c>
      <c r="B57">
        <f t="shared" ref="B57:B67" si="27">-43.96*1.3</f>
        <v>-57.148000000000003</v>
      </c>
      <c r="C57" s="4">
        <f t="shared" si="14"/>
        <v>546</v>
      </c>
      <c r="D57">
        <f>1171.5*0.5</f>
        <v>585.75</v>
      </c>
      <c r="E57" s="4">
        <f t="shared" si="15"/>
        <v>5.5E-2</v>
      </c>
      <c r="F57">
        <v>-729.29913999999997</v>
      </c>
      <c r="G57">
        <v>85901.25</v>
      </c>
      <c r="H57">
        <f t="shared" si="16"/>
        <v>9.7268878880999239</v>
      </c>
      <c r="I57">
        <f t="shared" si="17"/>
        <v>195.34555842080619</v>
      </c>
      <c r="J57">
        <f t="shared" si="18"/>
        <v>1.3066182175377652E-2</v>
      </c>
      <c r="K57" s="5">
        <v>14.4899870914718</v>
      </c>
      <c r="L57" s="5">
        <f t="shared" si="19"/>
        <v>1.7830454153492381</v>
      </c>
      <c r="M57">
        <f t="shared" si="20"/>
        <v>10235.304750000001</v>
      </c>
      <c r="N57">
        <f t="shared" si="21"/>
        <v>41677.987252719999</v>
      </c>
      <c r="O57" s="5">
        <f t="shared" si="22"/>
        <v>0.2455805912108201</v>
      </c>
      <c r="P57">
        <f t="shared" si="23"/>
        <v>0.48968377739802577</v>
      </c>
      <c r="Q57">
        <f t="shared" si="24"/>
        <v>0.23979020184679925</v>
      </c>
    </row>
    <row r="58" spans="1:17" x14ac:dyDescent="0.25">
      <c r="A58">
        <v>90</v>
      </c>
      <c r="B58">
        <f t="shared" si="27"/>
        <v>-57.148000000000003</v>
      </c>
      <c r="C58" s="4">
        <f t="shared" si="14"/>
        <v>546</v>
      </c>
      <c r="D58">
        <f>1171.5*0.6</f>
        <v>702.9</v>
      </c>
      <c r="E58" s="4">
        <f t="shared" si="15"/>
        <v>6.6000000000000003E-2</v>
      </c>
      <c r="F58">
        <v>-790.55943000000002</v>
      </c>
      <c r="G58">
        <v>89563.066000000006</v>
      </c>
      <c r="H58">
        <f t="shared" si="16"/>
        <v>11.224630555815363</v>
      </c>
      <c r="I58">
        <f t="shared" si="17"/>
        <v>207.74663043293802</v>
      </c>
      <c r="J58">
        <f t="shared" si="18"/>
        <v>1.7692155744463645E-2</v>
      </c>
      <c r="K58" s="5">
        <v>14.9312284032879</v>
      </c>
      <c r="L58" s="5">
        <f t="shared" si="19"/>
        <v>1.8181303631311678</v>
      </c>
      <c r="M58">
        <f t="shared" si="20"/>
        <v>12524.045555999999</v>
      </c>
      <c r="N58">
        <f t="shared" si="21"/>
        <v>45178.890305640001</v>
      </c>
      <c r="O58" s="5">
        <f t="shared" si="22"/>
        <v>0.27721011895762598</v>
      </c>
      <c r="P58">
        <f t="shared" si="23"/>
        <v>0.33022003076548362</v>
      </c>
      <c r="Q58">
        <f t="shared" si="24"/>
        <v>0.10904526871875694</v>
      </c>
    </row>
    <row r="59" spans="1:17" x14ac:dyDescent="0.25">
      <c r="A59">
        <v>91</v>
      </c>
      <c r="B59">
        <f t="shared" si="27"/>
        <v>-57.148000000000003</v>
      </c>
      <c r="C59" s="4">
        <f t="shared" si="14"/>
        <v>546</v>
      </c>
      <c r="D59">
        <f>1171.5*0.7</f>
        <v>820.05</v>
      </c>
      <c r="E59" s="4">
        <f t="shared" si="15"/>
        <v>7.6999999999999999E-2</v>
      </c>
      <c r="F59">
        <v>-859.08981000000006</v>
      </c>
      <c r="G59">
        <v>83813.164999999994</v>
      </c>
      <c r="H59">
        <f t="shared" si="16"/>
        <v>12.70765463165494</v>
      </c>
      <c r="I59">
        <f t="shared" si="17"/>
        <v>202.77011703245682</v>
      </c>
      <c r="J59">
        <f t="shared" si="18"/>
        <v>2.4672000756474403E-2</v>
      </c>
      <c r="K59" s="5">
        <v>14.7328941316658</v>
      </c>
      <c r="L59" s="5">
        <f t="shared" si="19"/>
        <v>1.7630388521605824</v>
      </c>
      <c r="M59">
        <f t="shared" si="20"/>
        <v>14168.644104999999</v>
      </c>
      <c r="N59">
        <f t="shared" si="21"/>
        <v>49095.264461880004</v>
      </c>
      <c r="O59" s="5">
        <f t="shared" si="22"/>
        <v>0.28859492377317242</v>
      </c>
      <c r="P59">
        <f t="shared" si="23"/>
        <v>0.1593716196036648</v>
      </c>
      <c r="Q59">
        <f t="shared" si="24"/>
        <v>2.5399313135095237E-2</v>
      </c>
    </row>
    <row r="60" spans="1:17" x14ac:dyDescent="0.25">
      <c r="A60">
        <v>92</v>
      </c>
      <c r="B60">
        <f t="shared" si="27"/>
        <v>-57.148000000000003</v>
      </c>
      <c r="C60" s="4">
        <f t="shared" si="14"/>
        <v>546</v>
      </c>
      <c r="D60">
        <f>1171.5*0.8</f>
        <v>937.2</v>
      </c>
      <c r="E60" s="4">
        <f t="shared" si="15"/>
        <v>8.8000000000000009E-2</v>
      </c>
      <c r="F60">
        <v>-944.22906</v>
      </c>
      <c r="G60">
        <v>90104.952000000005</v>
      </c>
      <c r="H60">
        <f t="shared" si="16"/>
        <v>14.299552460067984</v>
      </c>
      <c r="I60">
        <f t="shared" si="17"/>
        <v>197.90329178465302</v>
      </c>
      <c r="J60">
        <f t="shared" si="18"/>
        <v>3.3017120705660596E-2</v>
      </c>
      <c r="K60" s="5">
        <v>14.600861285191799</v>
      </c>
      <c r="L60" s="5">
        <f t="shared" si="19"/>
        <v>1.8233223340040241</v>
      </c>
      <c r="M60">
        <f t="shared" si="20"/>
        <v>16746.413376</v>
      </c>
      <c r="N60">
        <f t="shared" si="21"/>
        <v>53960.80232088</v>
      </c>
      <c r="O60" s="5">
        <f t="shared" si="22"/>
        <v>0.31034403966821705</v>
      </c>
      <c r="P60">
        <f t="shared" si="23"/>
        <v>2.1071206666448544E-2</v>
      </c>
      <c r="Q60">
        <f t="shared" si="24"/>
        <v>4.4399575038018559E-4</v>
      </c>
    </row>
    <row r="61" spans="1:17" x14ac:dyDescent="0.25">
      <c r="A61">
        <v>93</v>
      </c>
      <c r="B61">
        <f t="shared" si="27"/>
        <v>-57.148000000000003</v>
      </c>
      <c r="C61" s="4">
        <f t="shared" si="14"/>
        <v>546</v>
      </c>
      <c r="D61">
        <f>1171.5*0.9</f>
        <v>1054.3500000000001</v>
      </c>
      <c r="E61" s="4">
        <f t="shared" si="15"/>
        <v>9.9000000000000019E-2</v>
      </c>
      <c r="F61">
        <v>-1020.6489</v>
      </c>
      <c r="G61">
        <v>105860.09</v>
      </c>
      <c r="H61">
        <f t="shared" si="16"/>
        <v>15.959671389545592</v>
      </c>
      <c r="I61">
        <f t="shared" si="17"/>
        <v>274.58994375528727</v>
      </c>
      <c r="J61">
        <f t="shared" si="18"/>
        <v>3.0117064027064076E-2</v>
      </c>
      <c r="K61" s="5">
        <v>17.102834554711201</v>
      </c>
      <c r="L61" s="5">
        <f t="shared" si="19"/>
        <v>1.9742769953051642</v>
      </c>
      <c r="M61">
        <f t="shared" si="20"/>
        <v>20399.473710000002</v>
      </c>
      <c r="N61">
        <f t="shared" si="21"/>
        <v>58328.043337200004</v>
      </c>
      <c r="O61" s="5">
        <f t="shared" si="22"/>
        <v>0.34973697972463591</v>
      </c>
      <c r="P61">
        <f t="shared" si="23"/>
        <v>7.1628239533455526E-2</v>
      </c>
      <c r="Q61">
        <f t="shared" si="24"/>
        <v>5.1306046986620809E-3</v>
      </c>
    </row>
    <row r="62" spans="1:17" x14ac:dyDescent="0.25">
      <c r="A62">
        <v>94</v>
      </c>
      <c r="B62">
        <f t="shared" si="27"/>
        <v>-57.148000000000003</v>
      </c>
      <c r="C62" s="4">
        <f t="shared" si="14"/>
        <v>546</v>
      </c>
      <c r="D62">
        <f>1171.5*1</f>
        <v>1171.5</v>
      </c>
      <c r="E62" s="4">
        <f t="shared" si="15"/>
        <v>0.11</v>
      </c>
      <c r="F62">
        <v>-1120.4792</v>
      </c>
      <c r="G62">
        <v>108706.62</v>
      </c>
      <c r="H62">
        <f t="shared" si="16"/>
        <v>17.561553821386507</v>
      </c>
      <c r="I62">
        <f t="shared" si="17"/>
        <v>380.82108761017321</v>
      </c>
      <c r="J62">
        <f t="shared" si="18"/>
        <v>2.6809656676259612E-2</v>
      </c>
      <c r="K62" s="5">
        <v>19.980904339939698</v>
      </c>
      <c r="L62" s="5">
        <f t="shared" si="19"/>
        <v>2.0015504455303246</v>
      </c>
      <c r="M62">
        <f t="shared" si="20"/>
        <v>22979.200199999996</v>
      </c>
      <c r="N62">
        <f t="shared" si="21"/>
        <v>64033.145321600001</v>
      </c>
      <c r="O62" s="5">
        <f t="shared" si="22"/>
        <v>0.35886414894332125</v>
      </c>
      <c r="P62">
        <f t="shared" si="23"/>
        <v>0.13776403518502445</v>
      </c>
      <c r="Q62">
        <f t="shared" si="24"/>
        <v>1.8978929390460655E-2</v>
      </c>
    </row>
    <row r="63" spans="1:17" x14ac:dyDescent="0.25">
      <c r="A63">
        <v>95</v>
      </c>
      <c r="B63">
        <f t="shared" si="27"/>
        <v>-57.148000000000003</v>
      </c>
      <c r="C63" s="4">
        <f t="shared" si="14"/>
        <v>546</v>
      </c>
      <c r="D63">
        <f>1171.5*1.1</f>
        <v>1288.6500000000001</v>
      </c>
      <c r="E63" s="4">
        <f t="shared" si="15"/>
        <v>0.12100000000000001</v>
      </c>
      <c r="F63">
        <v>-1232.0351000000001</v>
      </c>
      <c r="G63">
        <v>114109.56</v>
      </c>
      <c r="H63">
        <f t="shared" si="16"/>
        <v>19.187796646198855</v>
      </c>
      <c r="I63">
        <f t="shared" si="17"/>
        <v>375.36376215152933</v>
      </c>
      <c r="J63">
        <f t="shared" si="18"/>
        <v>3.2911317523086549E-2</v>
      </c>
      <c r="K63" s="5">
        <v>19.868168226581499</v>
      </c>
      <c r="L63" s="5">
        <f t="shared" si="19"/>
        <v>2.0533176200057488</v>
      </c>
      <c r="M63">
        <f t="shared" si="20"/>
        <v>25930.875960000001</v>
      </c>
      <c r="N63">
        <f t="shared" si="21"/>
        <v>70408.341894800004</v>
      </c>
      <c r="O63" s="5">
        <f t="shared" si="22"/>
        <v>0.36829266621197226</v>
      </c>
      <c r="P63">
        <f t="shared" si="23"/>
        <v>3.5458556963466011E-2</v>
      </c>
      <c r="Q63">
        <f t="shared" si="24"/>
        <v>1.2573092619313638E-3</v>
      </c>
    </row>
    <row r="64" spans="1:17" x14ac:dyDescent="0.25">
      <c r="A64">
        <v>96</v>
      </c>
      <c r="B64">
        <f t="shared" si="27"/>
        <v>-57.148000000000003</v>
      </c>
      <c r="C64" s="4">
        <f t="shared" si="14"/>
        <v>546</v>
      </c>
      <c r="D64">
        <f>1171.5*1.2</f>
        <v>1405.8</v>
      </c>
      <c r="E64" s="4">
        <f t="shared" si="15"/>
        <v>0.13200000000000001</v>
      </c>
      <c r="F64">
        <v>-1342.4183</v>
      </c>
      <c r="G64">
        <v>147299.51</v>
      </c>
      <c r="H64">
        <f t="shared" si="16"/>
        <v>20.953226154762532</v>
      </c>
      <c r="I64">
        <f t="shared" si="17"/>
        <v>387.14409926739711</v>
      </c>
      <c r="J64">
        <f t="shared" si="18"/>
        <v>3.7975376589360788E-2</v>
      </c>
      <c r="K64" s="5">
        <v>20.322211146789599</v>
      </c>
      <c r="L64" s="5">
        <f t="shared" si="19"/>
        <v>2.3713203985819682</v>
      </c>
      <c r="M64">
        <f t="shared" si="20"/>
        <v>32669.301720000003</v>
      </c>
      <c r="N64">
        <f t="shared" si="21"/>
        <v>76716.521008400014</v>
      </c>
      <c r="O64" s="5">
        <f t="shared" si="22"/>
        <v>0.42584441122431638</v>
      </c>
      <c r="P64">
        <f t="shared" si="23"/>
        <v>-3.0115410548819391E-2</v>
      </c>
      <c r="Q64">
        <f t="shared" si="24"/>
        <v>9.0693795252394223E-4</v>
      </c>
    </row>
    <row r="65" spans="1:17" x14ac:dyDescent="0.25">
      <c r="A65">
        <v>97</v>
      </c>
      <c r="B65">
        <f t="shared" si="27"/>
        <v>-57.148000000000003</v>
      </c>
      <c r="C65" s="4">
        <f t="shared" si="14"/>
        <v>546</v>
      </c>
      <c r="D65">
        <f>1171.5*1.3</f>
        <v>1522.95</v>
      </c>
      <c r="E65" s="4">
        <f t="shared" si="15"/>
        <v>0.14300000000000002</v>
      </c>
      <c r="F65">
        <v>-1413.1732999999999</v>
      </c>
      <c r="G65">
        <v>139517.14000000001</v>
      </c>
      <c r="H65">
        <f t="shared" si="16"/>
        <v>22.52633690623966</v>
      </c>
      <c r="I65">
        <f t="shared" si="17"/>
        <v>300.73603340373899</v>
      </c>
      <c r="J65">
        <f t="shared" si="18"/>
        <v>5.7373781991536019E-2</v>
      </c>
      <c r="K65" s="5">
        <v>18.027317816424599</v>
      </c>
      <c r="L65" s="5">
        <f t="shared" si="19"/>
        <v>2.2967551978537895</v>
      </c>
      <c r="M65">
        <f t="shared" si="20"/>
        <v>34278.86462</v>
      </c>
      <c r="N65">
        <f t="shared" si="21"/>
        <v>80760.027748399996</v>
      </c>
      <c r="O65" s="5">
        <f t="shared" si="22"/>
        <v>0.42445335366640125</v>
      </c>
      <c r="P65">
        <f t="shared" si="23"/>
        <v>-0.19972262283659886</v>
      </c>
      <c r="Q65">
        <f t="shared" si="24"/>
        <v>3.9889126072730319E-2</v>
      </c>
    </row>
    <row r="66" spans="1:17" x14ac:dyDescent="0.25">
      <c r="A66">
        <v>98</v>
      </c>
      <c r="B66">
        <f t="shared" si="27"/>
        <v>-57.148000000000003</v>
      </c>
      <c r="C66" s="4">
        <f t="shared" ref="C66:C89" si="28">-60*B66/2/3.14</f>
        <v>546</v>
      </c>
      <c r="D66">
        <f>1171.5*1.4</f>
        <v>1640.1</v>
      </c>
      <c r="E66" s="4">
        <f t="shared" ref="E66:E89" si="29">D66/10650</f>
        <v>0.154</v>
      </c>
      <c r="F66">
        <v>-1495.4611</v>
      </c>
      <c r="G66">
        <v>171525.08</v>
      </c>
      <c r="H66">
        <f t="shared" ref="H66:H89" si="30">SQRT(E66^2/0.034426^2/0.0364641+4*9.8^2*L66^2/B66^2/0.159967^2+10)</f>
        <v>24.288716674618364</v>
      </c>
      <c r="I66">
        <f t="shared" ref="I66:I89" si="31">K66^2-4*9.8^2*L66^2/B66^2/0.159967^2</f>
        <v>426.55571876147337</v>
      </c>
      <c r="J66">
        <f t="shared" ref="J66:J89" si="32">E66^2/0.034426^2/I66</f>
        <v>4.691292847125253E-2</v>
      </c>
      <c r="K66" s="5">
        <v>21.3941987782047</v>
      </c>
      <c r="L66" s="5">
        <f t="shared" ref="L66:L89" si="33">G66/10650/9.8+0.61+0.35</f>
        <v>2.6034327871993868</v>
      </c>
      <c r="M66">
        <f t="shared" ref="M66:M89" si="34">D66*L66*9.8</f>
        <v>41844.923119999999</v>
      </c>
      <c r="N66">
        <f t="shared" ref="N66:N89" si="35">F66*B66</f>
        <v>85462.610942800005</v>
      </c>
      <c r="O66" s="5">
        <f t="shared" ref="O66:O89" si="36">M66/N66</f>
        <v>0.48962841947347879</v>
      </c>
      <c r="P66">
        <f t="shared" ref="P66:P89" si="37">(K66-H66)/H66</f>
        <v>-0.11917129814595871</v>
      </c>
      <c r="Q66">
        <f t="shared" ref="Q66:Q89" si="38">P66^2</f>
        <v>1.4201798301792983E-2</v>
      </c>
    </row>
    <row r="67" spans="1:17" x14ac:dyDescent="0.25">
      <c r="A67">
        <v>99</v>
      </c>
      <c r="B67">
        <f t="shared" si="27"/>
        <v>-57.148000000000003</v>
      </c>
      <c r="C67" s="4">
        <f t="shared" si="28"/>
        <v>546</v>
      </c>
      <c r="D67">
        <f>1171.5*1.5</f>
        <v>1757.25</v>
      </c>
      <c r="E67" s="4">
        <f t="shared" si="29"/>
        <v>0.16500000000000001</v>
      </c>
      <c r="F67">
        <v>-1591.4879000000001</v>
      </c>
      <c r="G67">
        <v>160380.34</v>
      </c>
      <c r="H67">
        <f t="shared" si="30"/>
        <v>25.858002648296665</v>
      </c>
      <c r="I67">
        <f t="shared" si="31"/>
        <v>344.89157209617474</v>
      </c>
      <c r="J67">
        <f t="shared" si="32"/>
        <v>6.6605819741192132E-2</v>
      </c>
      <c r="K67" s="5">
        <v>19.3272928414309</v>
      </c>
      <c r="L67" s="5">
        <f t="shared" si="33"/>
        <v>2.4966517198428666</v>
      </c>
      <c r="M67">
        <f t="shared" si="34"/>
        <v>42994.964099999997</v>
      </c>
      <c r="N67">
        <f t="shared" si="35"/>
        <v>90950.350509200012</v>
      </c>
      <c r="O67" s="5">
        <f t="shared" si="36"/>
        <v>0.47273005391717404</v>
      </c>
      <c r="P67">
        <f t="shared" si="37"/>
        <v>-0.2525604895200968</v>
      </c>
      <c r="Q67">
        <f t="shared" si="38"/>
        <v>6.3786800866630924E-2</v>
      </c>
    </row>
    <row r="68" spans="1:17" x14ac:dyDescent="0.25">
      <c r="A68">
        <v>100</v>
      </c>
      <c r="B68">
        <f t="shared" ref="B68:B78" si="39">-43.96*1.4</f>
        <v>-61.543999999999997</v>
      </c>
      <c r="C68" s="4">
        <f t="shared" si="28"/>
        <v>588</v>
      </c>
      <c r="D68">
        <f>1171.5*0.5</f>
        <v>585.75</v>
      </c>
      <c r="E68" s="4">
        <f t="shared" si="29"/>
        <v>5.5E-2</v>
      </c>
      <c r="F68">
        <v>-810.00804000000005</v>
      </c>
      <c r="G68">
        <v>97819.91</v>
      </c>
      <c r="H68">
        <f t="shared" si="30"/>
        <v>9.7090130995527346</v>
      </c>
      <c r="I68">
        <f t="shared" si="31"/>
        <v>223.50738068868014</v>
      </c>
      <c r="J68">
        <f t="shared" si="32"/>
        <v>1.1419849517329174E-2</v>
      </c>
      <c r="K68" s="5">
        <v>15.4199265743555</v>
      </c>
      <c r="L68" s="5">
        <f t="shared" si="33"/>
        <v>1.8972416403180992</v>
      </c>
      <c r="M68">
        <f t="shared" si="34"/>
        <v>10890.831050000003</v>
      </c>
      <c r="N68">
        <f t="shared" si="35"/>
        <v>49851.13481376</v>
      </c>
      <c r="O68" s="5">
        <f t="shared" si="36"/>
        <v>0.21846706380280626</v>
      </c>
      <c r="P68">
        <f t="shared" si="37"/>
        <v>0.58820741266337884</v>
      </c>
      <c r="Q68">
        <f t="shared" si="38"/>
        <v>0.34598796031214646</v>
      </c>
    </row>
    <row r="69" spans="1:17" x14ac:dyDescent="0.25">
      <c r="A69">
        <v>101</v>
      </c>
      <c r="B69">
        <f t="shared" si="39"/>
        <v>-61.543999999999997</v>
      </c>
      <c r="C69" s="4">
        <f t="shared" si="28"/>
        <v>588</v>
      </c>
      <c r="D69">
        <f>1171.5*0.6</f>
        <v>702.9</v>
      </c>
      <c r="E69" s="4">
        <f t="shared" si="29"/>
        <v>6.6000000000000003E-2</v>
      </c>
      <c r="F69">
        <v>-880.39507000000003</v>
      </c>
      <c r="G69">
        <v>100871.49</v>
      </c>
      <c r="H69">
        <f t="shared" si="30"/>
        <v>11.203001764180762</v>
      </c>
      <c r="I69">
        <f t="shared" si="31"/>
        <v>235.20030099443315</v>
      </c>
      <c r="J69">
        <f t="shared" si="32"/>
        <v>1.5627045226842901E-2</v>
      </c>
      <c r="K69" s="5">
        <v>15.808547359145299</v>
      </c>
      <c r="L69" s="5">
        <f t="shared" si="33"/>
        <v>1.9264797355561942</v>
      </c>
      <c r="M69">
        <f t="shared" si="34"/>
        <v>13270.401539999999</v>
      </c>
      <c r="N69">
        <f t="shared" si="35"/>
        <v>54183.034188079997</v>
      </c>
      <c r="O69" s="5">
        <f t="shared" si="36"/>
        <v>0.24491802164374588</v>
      </c>
      <c r="P69">
        <f t="shared" si="37"/>
        <v>0.411099247497202</v>
      </c>
      <c r="Q69">
        <f t="shared" si="38"/>
        <v>0.16900259129276574</v>
      </c>
    </row>
    <row r="70" spans="1:17" x14ac:dyDescent="0.25">
      <c r="A70">
        <v>102</v>
      </c>
      <c r="B70">
        <f t="shared" si="39"/>
        <v>-61.543999999999997</v>
      </c>
      <c r="C70" s="4">
        <f t="shared" si="28"/>
        <v>588</v>
      </c>
      <c r="D70">
        <f>1171.5*0.7</f>
        <v>820.05</v>
      </c>
      <c r="E70" s="4">
        <f t="shared" si="29"/>
        <v>7.6999999999999999E-2</v>
      </c>
      <c r="F70">
        <v>-967.48490000000004</v>
      </c>
      <c r="G70">
        <v>104374.48</v>
      </c>
      <c r="H70">
        <f t="shared" si="30"/>
        <v>12.744540744559041</v>
      </c>
      <c r="I70">
        <f t="shared" si="31"/>
        <v>258.60735364726747</v>
      </c>
      <c r="J70">
        <f t="shared" si="32"/>
        <v>1.9344942865154438E-2</v>
      </c>
      <c r="K70" s="5">
        <v>16.547937595422201</v>
      </c>
      <c r="L70" s="5">
        <f t="shared" si="33"/>
        <v>1.9600429242119382</v>
      </c>
      <c r="M70">
        <f t="shared" si="34"/>
        <v>15751.86536</v>
      </c>
      <c r="N70">
        <f t="shared" si="35"/>
        <v>59542.890685599996</v>
      </c>
      <c r="O70" s="5">
        <f t="shared" si="36"/>
        <v>0.26454653408033935</v>
      </c>
      <c r="P70">
        <f t="shared" si="37"/>
        <v>0.29843341765664838</v>
      </c>
      <c r="Q70">
        <f t="shared" si="38"/>
        <v>8.906250477422753E-2</v>
      </c>
    </row>
    <row r="71" spans="1:17" x14ac:dyDescent="0.25">
      <c r="A71">
        <v>103</v>
      </c>
      <c r="B71">
        <f t="shared" si="39"/>
        <v>-61.543999999999997</v>
      </c>
      <c r="C71" s="4">
        <f t="shared" si="28"/>
        <v>588</v>
      </c>
      <c r="D71">
        <f>1171.5*0.8</f>
        <v>937.2</v>
      </c>
      <c r="E71" s="4">
        <f t="shared" si="29"/>
        <v>8.8000000000000009E-2</v>
      </c>
      <c r="F71">
        <v>-1049.8749</v>
      </c>
      <c r="G71">
        <v>102834.44</v>
      </c>
      <c r="H71">
        <f t="shared" si="30"/>
        <v>14.289640590248235</v>
      </c>
      <c r="I71">
        <f t="shared" si="31"/>
        <v>251.70743660138461</v>
      </c>
      <c r="J71">
        <f t="shared" si="32"/>
        <v>2.595949075294629E-2</v>
      </c>
      <c r="K71" s="5">
        <v>16.3311335407674</v>
      </c>
      <c r="L71" s="5">
        <f t="shared" si="33"/>
        <v>1.9452873431062567</v>
      </c>
      <c r="M71">
        <f t="shared" si="34"/>
        <v>17866.608320000003</v>
      </c>
      <c r="N71">
        <f t="shared" si="35"/>
        <v>64613.5008456</v>
      </c>
      <c r="O71" s="5">
        <f t="shared" si="36"/>
        <v>0.27651509492875076</v>
      </c>
      <c r="P71">
        <f t="shared" si="37"/>
        <v>0.14286524126522496</v>
      </c>
      <c r="Q71">
        <f t="shared" si="38"/>
        <v>2.0410477161770937E-2</v>
      </c>
    </row>
    <row r="72" spans="1:17" x14ac:dyDescent="0.25">
      <c r="A72">
        <v>104</v>
      </c>
      <c r="B72">
        <f t="shared" si="39"/>
        <v>-61.543999999999997</v>
      </c>
      <c r="C72" s="4">
        <f t="shared" si="28"/>
        <v>588</v>
      </c>
      <c r="D72">
        <f>1171.5*0.9</f>
        <v>1054.3500000000001</v>
      </c>
      <c r="E72" s="4">
        <f t="shared" si="29"/>
        <v>9.9000000000000019E-2</v>
      </c>
      <c r="F72">
        <v>-1128.9224999999999</v>
      </c>
      <c r="G72">
        <v>112285.24</v>
      </c>
      <c r="H72">
        <f t="shared" si="30"/>
        <v>15.912932310808102</v>
      </c>
      <c r="I72">
        <f t="shared" si="31"/>
        <v>268.04550611987764</v>
      </c>
      <c r="J72">
        <f t="shared" si="32"/>
        <v>3.0852384123042895E-2</v>
      </c>
      <c r="K72" s="5">
        <v>16.866321947493301</v>
      </c>
      <c r="L72" s="5">
        <f t="shared" si="33"/>
        <v>2.0358382677014468</v>
      </c>
      <c r="M72">
        <f t="shared" si="34"/>
        <v>21035.563560000002</v>
      </c>
      <c r="N72">
        <f t="shared" si="35"/>
        <v>69478.406339999987</v>
      </c>
      <c r="O72" s="5">
        <f t="shared" si="36"/>
        <v>0.3027640481138878</v>
      </c>
      <c r="P72">
        <f t="shared" si="37"/>
        <v>5.9912882054909126E-2</v>
      </c>
      <c r="Q72">
        <f t="shared" si="38"/>
        <v>3.5895534361254518E-3</v>
      </c>
    </row>
    <row r="73" spans="1:17" x14ac:dyDescent="0.25">
      <c r="A73">
        <v>105</v>
      </c>
      <c r="B73">
        <f t="shared" si="39"/>
        <v>-61.543999999999997</v>
      </c>
      <c r="C73" s="4">
        <f t="shared" si="28"/>
        <v>588</v>
      </c>
      <c r="D73">
        <f>1171.5*1</f>
        <v>1171.5</v>
      </c>
      <c r="E73" s="4">
        <f t="shared" si="29"/>
        <v>0.11</v>
      </c>
      <c r="F73">
        <v>-1218.4893999999999</v>
      </c>
      <c r="G73">
        <v>123452.6</v>
      </c>
      <c r="H73">
        <f t="shared" si="30"/>
        <v>17.555402372413813</v>
      </c>
      <c r="I73">
        <f t="shared" si="31"/>
        <v>415.40901523955279</v>
      </c>
      <c r="J73">
        <f t="shared" si="32"/>
        <v>2.4577421864619229E-2</v>
      </c>
      <c r="K73" s="5">
        <v>20.823266931658399</v>
      </c>
      <c r="L73" s="5">
        <f t="shared" si="33"/>
        <v>2.1428360640030659</v>
      </c>
      <c r="M73">
        <f t="shared" si="34"/>
        <v>24601.258000000002</v>
      </c>
      <c r="N73">
        <f t="shared" si="35"/>
        <v>74990.711633599989</v>
      </c>
      <c r="O73" s="5">
        <f t="shared" si="36"/>
        <v>0.32805740156461294</v>
      </c>
      <c r="P73">
        <f t="shared" si="37"/>
        <v>0.1861458079923955</v>
      </c>
      <c r="Q73">
        <f t="shared" si="38"/>
        <v>3.4650261833141772E-2</v>
      </c>
    </row>
    <row r="74" spans="1:17" x14ac:dyDescent="0.25">
      <c r="A74">
        <v>106</v>
      </c>
      <c r="B74">
        <f t="shared" si="39"/>
        <v>-61.543999999999997</v>
      </c>
      <c r="C74" s="4">
        <f t="shared" si="28"/>
        <v>588</v>
      </c>
      <c r="D74">
        <f>1171.5*1.1</f>
        <v>1288.6500000000001</v>
      </c>
      <c r="E74" s="4">
        <f t="shared" si="29"/>
        <v>0.12100000000000001</v>
      </c>
      <c r="F74">
        <v>-1313.5364999999999</v>
      </c>
      <c r="G74">
        <v>118006.03</v>
      </c>
      <c r="H74">
        <f t="shared" si="30"/>
        <v>19.134131393837055</v>
      </c>
      <c r="I74">
        <f t="shared" si="31"/>
        <v>419.1673733377026</v>
      </c>
      <c r="J74">
        <f t="shared" si="32"/>
        <v>2.9472036109252558E-2</v>
      </c>
      <c r="K74" s="5">
        <v>20.8923709503411</v>
      </c>
      <c r="L74" s="5">
        <f t="shared" si="33"/>
        <v>2.0906508575261089</v>
      </c>
      <c r="M74">
        <f t="shared" si="34"/>
        <v>26402.348829999999</v>
      </c>
      <c r="N74">
        <f t="shared" si="35"/>
        <v>80840.290355999998</v>
      </c>
      <c r="O74" s="5">
        <f t="shared" si="36"/>
        <v>0.32659888669042125</v>
      </c>
      <c r="P74">
        <f t="shared" si="37"/>
        <v>9.1890220690674179E-2</v>
      </c>
      <c r="Q74">
        <f t="shared" si="38"/>
        <v>8.4438126585808047E-3</v>
      </c>
    </row>
    <row r="75" spans="1:17" x14ac:dyDescent="0.25">
      <c r="A75">
        <v>107</v>
      </c>
      <c r="B75">
        <f t="shared" si="39"/>
        <v>-61.543999999999997</v>
      </c>
      <c r="C75" s="4">
        <f t="shared" si="28"/>
        <v>588</v>
      </c>
      <c r="D75">
        <f>1171.5*1.2</f>
        <v>1405.8</v>
      </c>
      <c r="E75" s="4">
        <f t="shared" si="29"/>
        <v>0.13200000000000001</v>
      </c>
      <c r="F75">
        <v>-1452.4838</v>
      </c>
      <c r="G75">
        <v>147392.5</v>
      </c>
      <c r="H75">
        <f t="shared" si="30"/>
        <v>20.868486301617299</v>
      </c>
      <c r="I75">
        <f t="shared" si="31"/>
        <v>445.56137492315048</v>
      </c>
      <c r="J75">
        <f t="shared" si="32"/>
        <v>3.2996448506255827E-2</v>
      </c>
      <c r="K75" s="5">
        <v>21.6302005487378</v>
      </c>
      <c r="L75" s="5">
        <f t="shared" si="33"/>
        <v>2.3722113634186068</v>
      </c>
      <c r="M75">
        <f t="shared" si="34"/>
        <v>32681.576399999998</v>
      </c>
      <c r="N75">
        <f t="shared" si="35"/>
        <v>89391.66298719999</v>
      </c>
      <c r="O75" s="5">
        <f t="shared" si="36"/>
        <v>0.36559982561997623</v>
      </c>
      <c r="P75">
        <f t="shared" si="37"/>
        <v>3.6500694689172011E-2</v>
      </c>
      <c r="Q75">
        <f t="shared" si="38"/>
        <v>1.33230071279215E-3</v>
      </c>
    </row>
    <row r="76" spans="1:17" x14ac:dyDescent="0.25">
      <c r="A76">
        <v>108</v>
      </c>
      <c r="B76">
        <f t="shared" si="39"/>
        <v>-61.543999999999997</v>
      </c>
      <c r="C76" s="4">
        <f t="shared" si="28"/>
        <v>588</v>
      </c>
      <c r="D76">
        <f>1171.5*1.3</f>
        <v>1522.95</v>
      </c>
      <c r="E76" s="4">
        <f t="shared" si="29"/>
        <v>0.14300000000000002</v>
      </c>
      <c r="F76">
        <v>-1534.4427000000001</v>
      </c>
      <c r="G76">
        <v>169451.05</v>
      </c>
      <c r="H76">
        <f t="shared" si="30"/>
        <v>22.5752803155405</v>
      </c>
      <c r="I76">
        <f t="shared" si="31"/>
        <v>434.22976277661201</v>
      </c>
      <c r="J76">
        <f t="shared" si="32"/>
        <v>3.9735561899707603E-2</v>
      </c>
      <c r="K76" s="5">
        <v>21.463581805911801</v>
      </c>
      <c r="L76" s="5">
        <f t="shared" si="33"/>
        <v>2.58356088914439</v>
      </c>
      <c r="M76">
        <f t="shared" si="34"/>
        <v>38559.41375</v>
      </c>
      <c r="N76">
        <f t="shared" si="35"/>
        <v>94435.741528800005</v>
      </c>
      <c r="O76" s="5">
        <f t="shared" si="36"/>
        <v>0.40831377109736106</v>
      </c>
      <c r="P76">
        <f t="shared" si="37"/>
        <v>-4.9244062270332983E-2</v>
      </c>
      <c r="Q76">
        <f t="shared" si="38"/>
        <v>2.4249776688844323E-3</v>
      </c>
    </row>
    <row r="77" spans="1:17" x14ac:dyDescent="0.25">
      <c r="A77">
        <v>109</v>
      </c>
      <c r="B77">
        <f t="shared" si="39"/>
        <v>-61.543999999999997</v>
      </c>
      <c r="C77" s="4">
        <f t="shared" si="28"/>
        <v>588</v>
      </c>
      <c r="D77">
        <f>1171.5*1.4</f>
        <v>1640.1</v>
      </c>
      <c r="E77" s="4">
        <f t="shared" si="29"/>
        <v>0.154</v>
      </c>
      <c r="F77">
        <v>-1640.0481</v>
      </c>
      <c r="G77">
        <v>167318.97</v>
      </c>
      <c r="H77">
        <f t="shared" si="30"/>
        <v>24.183147111844541</v>
      </c>
      <c r="I77">
        <f t="shared" si="31"/>
        <v>359.78368566712152</v>
      </c>
      <c r="J77">
        <f t="shared" si="32"/>
        <v>5.5619470032821985E-2</v>
      </c>
      <c r="K77" s="5">
        <v>19.642366323847401</v>
      </c>
      <c r="L77" s="5">
        <f t="shared" si="33"/>
        <v>2.5631327967806841</v>
      </c>
      <c r="M77">
        <f t="shared" si="34"/>
        <v>41197.182180000003</v>
      </c>
      <c r="N77">
        <f t="shared" si="35"/>
        <v>100935.12026639999</v>
      </c>
      <c r="O77" s="5">
        <f t="shared" si="36"/>
        <v>0.4081550809199761</v>
      </c>
      <c r="P77">
        <f t="shared" si="37"/>
        <v>-0.18776633028763792</v>
      </c>
      <c r="Q77">
        <f t="shared" si="38"/>
        <v>3.5256194789686335E-2</v>
      </c>
    </row>
    <row r="78" spans="1:17" x14ac:dyDescent="0.25">
      <c r="A78">
        <v>110</v>
      </c>
      <c r="B78">
        <f t="shared" si="39"/>
        <v>-61.543999999999997</v>
      </c>
      <c r="C78" s="4">
        <f t="shared" si="28"/>
        <v>588</v>
      </c>
      <c r="D78">
        <f>1171.5*1.5</f>
        <v>1757.25</v>
      </c>
      <c r="E78" s="4">
        <f t="shared" si="29"/>
        <v>0.16500000000000001</v>
      </c>
      <c r="F78">
        <v>-1712.6841999999999</v>
      </c>
      <c r="G78">
        <v>194405.93</v>
      </c>
      <c r="H78">
        <f t="shared" si="30"/>
        <v>25.914523925919141</v>
      </c>
      <c r="I78">
        <f t="shared" si="31"/>
        <v>524.4758012713329</v>
      </c>
      <c r="J78">
        <f t="shared" si="32"/>
        <v>4.3799515298151834E-2</v>
      </c>
      <c r="K78" s="5">
        <v>23.580812689585201</v>
      </c>
      <c r="L78" s="5">
        <f t="shared" si="33"/>
        <v>2.8226610137012549</v>
      </c>
      <c r="M78">
        <f t="shared" si="34"/>
        <v>48609.186450000001</v>
      </c>
      <c r="N78">
        <f t="shared" si="35"/>
        <v>105405.43640479998</v>
      </c>
      <c r="O78" s="5">
        <f t="shared" si="36"/>
        <v>0.4611639409500744</v>
      </c>
      <c r="P78">
        <f t="shared" si="37"/>
        <v>-9.0054181315668044E-2</v>
      </c>
      <c r="Q78">
        <f t="shared" si="38"/>
        <v>8.1097555724352153E-3</v>
      </c>
    </row>
    <row r="79" spans="1:17" x14ac:dyDescent="0.25">
      <c r="A79">
        <v>111</v>
      </c>
      <c r="B79">
        <f t="shared" ref="B79:B89" si="40">-43.96*1.5</f>
        <v>-65.94</v>
      </c>
      <c r="C79" s="4">
        <f t="shared" si="28"/>
        <v>629.99999999999989</v>
      </c>
      <c r="D79">
        <f>1171.5*0.5</f>
        <v>585.75</v>
      </c>
      <c r="E79" s="4">
        <f t="shared" si="29"/>
        <v>5.5E-2</v>
      </c>
      <c r="F79">
        <v>-871.78130999999996</v>
      </c>
      <c r="G79">
        <v>108366.48</v>
      </c>
      <c r="H79">
        <f t="shared" si="30"/>
        <v>9.6842771162964834</v>
      </c>
      <c r="I79">
        <f t="shared" si="31"/>
        <v>336.44943433363409</v>
      </c>
      <c r="J79">
        <f t="shared" si="32"/>
        <v>7.5863425317757235E-3</v>
      </c>
      <c r="K79" s="5">
        <v>18.714605983065901</v>
      </c>
      <c r="L79" s="5">
        <f t="shared" si="33"/>
        <v>1.9982914630640987</v>
      </c>
      <c r="M79">
        <f t="shared" si="34"/>
        <v>11470.892399999999</v>
      </c>
      <c r="N79">
        <f t="shared" si="35"/>
        <v>57485.259581399994</v>
      </c>
      <c r="O79" s="5">
        <f t="shared" si="36"/>
        <v>0.19954493523260589</v>
      </c>
      <c r="P79">
        <f t="shared" si="37"/>
        <v>0.93247319942687146</v>
      </c>
      <c r="Q79">
        <f t="shared" si="38"/>
        <v>0.86950626764938599</v>
      </c>
    </row>
    <row r="80" spans="1:17" x14ac:dyDescent="0.25">
      <c r="A80">
        <v>112</v>
      </c>
      <c r="B80">
        <f t="shared" si="40"/>
        <v>-65.94</v>
      </c>
      <c r="C80" s="4">
        <f t="shared" si="28"/>
        <v>629.99999999999989</v>
      </c>
      <c r="D80">
        <f>1171.5*0.6</f>
        <v>702.9</v>
      </c>
      <c r="E80" s="4">
        <f t="shared" si="29"/>
        <v>6.6000000000000003E-2</v>
      </c>
      <c r="F80">
        <v>-987.77072999999996</v>
      </c>
      <c r="G80">
        <v>115164.01</v>
      </c>
      <c r="H80">
        <f t="shared" si="30"/>
        <v>11.20257891662736</v>
      </c>
      <c r="I80">
        <f t="shared" si="31"/>
        <v>266.66830406853427</v>
      </c>
      <c r="J80">
        <f t="shared" si="32"/>
        <v>1.3782986897694685E-2</v>
      </c>
      <c r="K80" s="5">
        <v>16.774048364526301</v>
      </c>
      <c r="L80" s="5">
        <f t="shared" si="33"/>
        <v>2.0634206189518061</v>
      </c>
      <c r="M80">
        <f t="shared" si="34"/>
        <v>14213.70786</v>
      </c>
      <c r="N80">
        <f t="shared" si="35"/>
        <v>65133.601936199993</v>
      </c>
      <c r="O80" s="5">
        <f t="shared" si="36"/>
        <v>0.21822388809270346</v>
      </c>
      <c r="P80">
        <f t="shared" si="37"/>
        <v>0.49733811199754385</v>
      </c>
      <c r="Q80">
        <f t="shared" si="38"/>
        <v>0.24734519764528148</v>
      </c>
    </row>
    <row r="81" spans="1:17" x14ac:dyDescent="0.25">
      <c r="A81">
        <v>113</v>
      </c>
      <c r="B81">
        <f t="shared" si="40"/>
        <v>-65.94</v>
      </c>
      <c r="C81" s="4">
        <f t="shared" si="28"/>
        <v>629.99999999999989</v>
      </c>
      <c r="D81">
        <f>1171.5*0.7</f>
        <v>820.05</v>
      </c>
      <c r="E81" s="4">
        <f t="shared" si="29"/>
        <v>7.6999999999999999E-2</v>
      </c>
      <c r="F81">
        <v>-1061.5920000000001</v>
      </c>
      <c r="G81">
        <v>117997.75999999999</v>
      </c>
      <c r="H81">
        <f t="shared" si="30"/>
        <v>12.739161524510092</v>
      </c>
      <c r="I81">
        <f t="shared" si="31"/>
        <v>284.70865720148231</v>
      </c>
      <c r="J81">
        <f t="shared" si="32"/>
        <v>1.7571451918565444E-2</v>
      </c>
      <c r="K81" s="5">
        <v>17.3146891330464</v>
      </c>
      <c r="L81" s="5">
        <f t="shared" si="33"/>
        <v>2.0905716201973745</v>
      </c>
      <c r="M81">
        <f t="shared" si="34"/>
        <v>16800.857919999999</v>
      </c>
      <c r="N81">
        <f t="shared" si="35"/>
        <v>70001.376480000006</v>
      </c>
      <c r="O81" s="5">
        <f t="shared" si="36"/>
        <v>0.24000753649180237</v>
      </c>
      <c r="P81">
        <f t="shared" si="37"/>
        <v>0.35917023265094905</v>
      </c>
      <c r="Q81">
        <f t="shared" si="38"/>
        <v>0.12900325602253687</v>
      </c>
    </row>
    <row r="82" spans="1:17" x14ac:dyDescent="0.25">
      <c r="A82">
        <v>114</v>
      </c>
      <c r="B82">
        <f t="shared" si="40"/>
        <v>-65.94</v>
      </c>
      <c r="C82" s="4">
        <f t="shared" si="28"/>
        <v>629.99999999999989</v>
      </c>
      <c r="D82">
        <f>1171.5*0.8</f>
        <v>937.2</v>
      </c>
      <c r="E82" s="4">
        <f t="shared" si="29"/>
        <v>8.8000000000000009E-2</v>
      </c>
      <c r="F82">
        <v>-1133.9848</v>
      </c>
      <c r="G82">
        <v>112588.87</v>
      </c>
      <c r="H82">
        <f t="shared" si="30"/>
        <v>14.266964669838467</v>
      </c>
      <c r="I82">
        <f t="shared" si="31"/>
        <v>274.13761505754564</v>
      </c>
      <c r="J82">
        <f t="shared" si="32"/>
        <v>2.3835462607091813E-2</v>
      </c>
      <c r="K82" s="5">
        <v>16.984950805771799</v>
      </c>
      <c r="L82" s="5">
        <f t="shared" si="33"/>
        <v>2.0387474370029701</v>
      </c>
      <c r="M82">
        <f t="shared" si="34"/>
        <v>18724.998159999999</v>
      </c>
      <c r="N82">
        <f t="shared" si="35"/>
        <v>74774.957711999989</v>
      </c>
      <c r="O82" s="5">
        <f t="shared" si="36"/>
        <v>0.25041803744136371</v>
      </c>
      <c r="P82">
        <f t="shared" si="37"/>
        <v>0.19050906754394489</v>
      </c>
      <c r="Q82">
        <f t="shared" si="38"/>
        <v>3.6293704816463358E-2</v>
      </c>
    </row>
    <row r="83" spans="1:17" x14ac:dyDescent="0.25">
      <c r="A83">
        <v>115</v>
      </c>
      <c r="B83">
        <f t="shared" si="40"/>
        <v>-65.94</v>
      </c>
      <c r="C83" s="4">
        <f t="shared" si="28"/>
        <v>629.99999999999989</v>
      </c>
      <c r="D83">
        <f>1171.5*0.9</f>
        <v>1054.3500000000001</v>
      </c>
      <c r="E83" s="4">
        <f t="shared" si="29"/>
        <v>9.9000000000000019E-2</v>
      </c>
      <c r="F83">
        <v>-1244.7168999999999</v>
      </c>
      <c r="G83">
        <v>121126.68</v>
      </c>
      <c r="H83">
        <f t="shared" si="30"/>
        <v>15.884577128336151</v>
      </c>
      <c r="I83">
        <f t="shared" si="31"/>
        <v>288.36846052811615</v>
      </c>
      <c r="J83">
        <f t="shared" si="32"/>
        <v>2.8678042328625582E-2</v>
      </c>
      <c r="K83" s="5">
        <v>17.4325599457576</v>
      </c>
      <c r="L83" s="5">
        <f t="shared" si="33"/>
        <v>2.1205507329692441</v>
      </c>
      <c r="M83">
        <f t="shared" si="34"/>
        <v>21910.866120000006</v>
      </c>
      <c r="N83">
        <f t="shared" si="35"/>
        <v>82076.632385999997</v>
      </c>
      <c r="O83" s="5">
        <f t="shared" si="36"/>
        <v>0.26695620279539384</v>
      </c>
      <c r="P83">
        <f t="shared" si="37"/>
        <v>9.7451937493509735E-2</v>
      </c>
      <c r="Q83">
        <f t="shared" si="38"/>
        <v>9.4968801212389278E-3</v>
      </c>
    </row>
    <row r="84" spans="1:17" x14ac:dyDescent="0.25">
      <c r="A84">
        <v>116</v>
      </c>
      <c r="B84">
        <f t="shared" si="40"/>
        <v>-65.94</v>
      </c>
      <c r="C84" s="4">
        <f t="shared" si="28"/>
        <v>629.99999999999989</v>
      </c>
      <c r="D84">
        <f>1171.5*1</f>
        <v>1171.5</v>
      </c>
      <c r="E84" s="4">
        <f t="shared" si="29"/>
        <v>0.11</v>
      </c>
      <c r="F84">
        <v>-1323.9109000000001</v>
      </c>
      <c r="G84">
        <v>134158.39000000001</v>
      </c>
      <c r="H84">
        <f t="shared" si="30"/>
        <v>17.532842867720806</v>
      </c>
      <c r="I84">
        <f t="shared" si="31"/>
        <v>320.11525813937419</v>
      </c>
      <c r="J84">
        <f t="shared" si="32"/>
        <v>3.1893770616405165E-2</v>
      </c>
      <c r="K84" s="5">
        <v>18.371802175446899</v>
      </c>
      <c r="L84" s="5">
        <f t="shared" si="33"/>
        <v>2.2454114209063909</v>
      </c>
      <c r="M84">
        <f t="shared" si="34"/>
        <v>25778.894900000003</v>
      </c>
      <c r="N84">
        <f t="shared" si="35"/>
        <v>87298.684745999999</v>
      </c>
      <c r="O84" s="5">
        <f t="shared" si="36"/>
        <v>0.29529534121854206</v>
      </c>
      <c r="P84">
        <f t="shared" si="37"/>
        <v>4.7850728718425668E-2</v>
      </c>
      <c r="Q84">
        <f t="shared" si="38"/>
        <v>2.289692238884367E-3</v>
      </c>
    </row>
    <row r="85" spans="1:17" x14ac:dyDescent="0.25">
      <c r="A85">
        <v>117</v>
      </c>
      <c r="B85">
        <f t="shared" si="40"/>
        <v>-65.94</v>
      </c>
      <c r="C85" s="4">
        <f t="shared" si="28"/>
        <v>629.99999999999989</v>
      </c>
      <c r="D85">
        <f>1171.5*1.1</f>
        <v>1288.6500000000001</v>
      </c>
      <c r="E85" s="4">
        <f t="shared" si="29"/>
        <v>0.12100000000000001</v>
      </c>
      <c r="F85">
        <v>-1451.3842999999999</v>
      </c>
      <c r="G85">
        <v>144832.88</v>
      </c>
      <c r="H85">
        <f t="shared" si="30"/>
        <v>19.178659369098085</v>
      </c>
      <c r="I85">
        <f t="shared" si="31"/>
        <v>578.02462122908889</v>
      </c>
      <c r="J85">
        <f t="shared" si="32"/>
        <v>2.1372300606435867E-2</v>
      </c>
      <c r="K85" s="5">
        <v>24.4346966999248</v>
      </c>
      <c r="L85" s="5">
        <f t="shared" si="33"/>
        <v>2.3476868832039859</v>
      </c>
      <c r="M85">
        <f t="shared" si="34"/>
        <v>29648.397680000005</v>
      </c>
      <c r="N85">
        <f t="shared" si="35"/>
        <v>95704.280741999988</v>
      </c>
      <c r="O85" s="5">
        <f t="shared" si="36"/>
        <v>0.30979176114312257</v>
      </c>
      <c r="P85">
        <f t="shared" si="37"/>
        <v>0.27405655576195209</v>
      </c>
      <c r="Q85">
        <f t="shared" si="38"/>
        <v>7.5106995756103953E-2</v>
      </c>
    </row>
    <row r="86" spans="1:17" x14ac:dyDescent="0.25">
      <c r="A86">
        <v>118</v>
      </c>
      <c r="B86">
        <f t="shared" si="40"/>
        <v>-65.94</v>
      </c>
      <c r="C86" s="4">
        <f t="shared" si="28"/>
        <v>629.99999999999989</v>
      </c>
      <c r="D86">
        <f>1171.5*1.2</f>
        <v>1405.8</v>
      </c>
      <c r="E86" s="4">
        <f t="shared" si="29"/>
        <v>0.13200000000000001</v>
      </c>
      <c r="F86">
        <v>-1538.6025</v>
      </c>
      <c r="G86">
        <v>135420.01</v>
      </c>
      <c r="H86">
        <f t="shared" si="30"/>
        <v>20.755368178951262</v>
      </c>
      <c r="I86">
        <f t="shared" si="31"/>
        <v>459.04606570971856</v>
      </c>
      <c r="J86">
        <f t="shared" si="32"/>
        <v>3.2027162549139829E-2</v>
      </c>
      <c r="K86" s="5">
        <v>21.832128945391901</v>
      </c>
      <c r="L86" s="5">
        <f t="shared" si="33"/>
        <v>2.2574993772156748</v>
      </c>
      <c r="M86">
        <f t="shared" si="34"/>
        <v>31101.207719999999</v>
      </c>
      <c r="N86">
        <f t="shared" si="35"/>
        <v>101455.44885</v>
      </c>
      <c r="O86" s="5">
        <f t="shared" si="36"/>
        <v>0.30655039302997472</v>
      </c>
      <c r="P86">
        <f t="shared" si="37"/>
        <v>5.1878663734455918E-2</v>
      </c>
      <c r="Q86">
        <f t="shared" si="38"/>
        <v>2.6913957508727516E-3</v>
      </c>
    </row>
    <row r="87" spans="1:17" x14ac:dyDescent="0.25">
      <c r="A87">
        <v>119</v>
      </c>
      <c r="B87">
        <f t="shared" si="40"/>
        <v>-65.94</v>
      </c>
      <c r="C87" s="4">
        <f t="shared" si="28"/>
        <v>629.99999999999989</v>
      </c>
      <c r="D87">
        <f>1171.5*1.3</f>
        <v>1522.95</v>
      </c>
      <c r="E87" s="4">
        <f t="shared" si="29"/>
        <v>0.14300000000000002</v>
      </c>
      <c r="F87">
        <v>-1706.7983999999999</v>
      </c>
      <c r="G87">
        <v>180753.08</v>
      </c>
      <c r="H87">
        <f t="shared" si="30"/>
        <v>22.543420995350449</v>
      </c>
      <c r="I87">
        <f t="shared" si="31"/>
        <v>487.30003939676101</v>
      </c>
      <c r="J87">
        <f t="shared" si="32"/>
        <v>3.5408089929286596E-2</v>
      </c>
      <c r="K87" s="5">
        <v>22.6344465231115</v>
      </c>
      <c r="L87" s="5">
        <f t="shared" si="33"/>
        <v>2.691848998754431</v>
      </c>
      <c r="M87">
        <f t="shared" si="34"/>
        <v>40175.604039999998</v>
      </c>
      <c r="N87">
        <f t="shared" si="35"/>
        <v>112546.28649599999</v>
      </c>
      <c r="O87" s="5">
        <f t="shared" si="36"/>
        <v>0.3569696103782854</v>
      </c>
      <c r="P87">
        <f t="shared" si="37"/>
        <v>4.0377868017380724E-3</v>
      </c>
      <c r="Q87">
        <f t="shared" si="38"/>
        <v>1.6303722256290172E-5</v>
      </c>
    </row>
    <row r="88" spans="1:17" x14ac:dyDescent="0.25">
      <c r="A88">
        <v>120</v>
      </c>
      <c r="B88">
        <f t="shared" si="40"/>
        <v>-65.94</v>
      </c>
      <c r="C88" s="4">
        <f t="shared" si="28"/>
        <v>629.99999999999989</v>
      </c>
      <c r="D88">
        <f>1171.5*1.4</f>
        <v>1640.1</v>
      </c>
      <c r="E88" s="4">
        <f t="shared" si="29"/>
        <v>0.154</v>
      </c>
      <c r="F88">
        <v>-1763.6004</v>
      </c>
      <c r="G88">
        <v>181912.35</v>
      </c>
      <c r="H88">
        <f t="shared" si="30"/>
        <v>24.166314457655844</v>
      </c>
      <c r="I88">
        <f t="shared" si="31"/>
        <v>495.60984697265297</v>
      </c>
      <c r="J88">
        <f t="shared" si="32"/>
        <v>4.0376473642511963E-2</v>
      </c>
      <c r="K88" s="5">
        <v>22.821806815827198</v>
      </c>
      <c r="L88" s="5">
        <f t="shared" si="33"/>
        <v>2.7029563092842772</v>
      </c>
      <c r="M88">
        <f t="shared" si="34"/>
        <v>43444.562700000002</v>
      </c>
      <c r="N88">
        <f t="shared" si="35"/>
        <v>116291.81037599999</v>
      </c>
      <c r="O88" s="5">
        <f t="shared" si="36"/>
        <v>0.37358230609303489</v>
      </c>
      <c r="P88">
        <f t="shared" si="37"/>
        <v>-5.5635609814830823E-2</v>
      </c>
      <c r="Q88">
        <f t="shared" si="38"/>
        <v>3.0953210794680999E-3</v>
      </c>
    </row>
    <row r="89" spans="1:17" x14ac:dyDescent="0.25">
      <c r="A89">
        <v>121</v>
      </c>
      <c r="B89">
        <f t="shared" si="40"/>
        <v>-65.94</v>
      </c>
      <c r="C89" s="4">
        <f t="shared" si="28"/>
        <v>629.99999999999989</v>
      </c>
      <c r="D89">
        <f>1171.5*1.5</f>
        <v>1757.25</v>
      </c>
      <c r="E89" s="4">
        <f t="shared" si="29"/>
        <v>0.16500000000000001</v>
      </c>
      <c r="F89">
        <v>-1870.6484</v>
      </c>
      <c r="G89">
        <v>203174.77</v>
      </c>
      <c r="H89">
        <f t="shared" si="30"/>
        <v>25.868017945524564</v>
      </c>
      <c r="I89">
        <f t="shared" si="31"/>
        <v>435.82793434031117</v>
      </c>
      <c r="J89">
        <f t="shared" si="32"/>
        <v>5.2708383449687125E-2</v>
      </c>
      <c r="K89" s="5">
        <v>21.563827635492402</v>
      </c>
      <c r="L89" s="5">
        <f t="shared" si="33"/>
        <v>2.9066778767845163</v>
      </c>
      <c r="M89">
        <f t="shared" si="34"/>
        <v>50056.045049999993</v>
      </c>
      <c r="N89">
        <f t="shared" si="35"/>
        <v>123350.555496</v>
      </c>
      <c r="O89" s="5">
        <f t="shared" si="36"/>
        <v>0.40580315871883693</v>
      </c>
      <c r="P89">
        <f t="shared" si="37"/>
        <v>-0.16639041766154455</v>
      </c>
      <c r="Q89">
        <f t="shared" si="38"/>
        <v>2.7685771089583238E-2</v>
      </c>
    </row>
    <row r="90" spans="1:17" x14ac:dyDescent="0.25">
      <c r="J90">
        <f>AVERAGE(J59:J89)</f>
        <v>3.1969022572749396E-2</v>
      </c>
      <c r="Q90">
        <f>AVERAGE(Q59:Q89)</f>
        <v>7.3896644888220647E-2</v>
      </c>
    </row>
    <row r="91" spans="1:17" x14ac:dyDescent="0.25">
      <c r="J91">
        <f>MEDIAN(J2:J89)</f>
        <v>3.6464131239490008E-2</v>
      </c>
    </row>
  </sheetData>
  <sortState ref="A2:Q91">
    <sortCondition ref="A1"/>
  </sortState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31" workbookViewId="0">
      <selection activeCell="D49" sqref="D49"/>
    </sheetView>
  </sheetViews>
  <sheetFormatPr defaultRowHeight="14.4" x14ac:dyDescent="0.25"/>
  <sheetData>
    <row r="1" spans="1:12" x14ac:dyDescent="0.25">
      <c r="A1" s="3" t="s">
        <v>11</v>
      </c>
      <c r="B1" s="3" t="s">
        <v>8</v>
      </c>
      <c r="C1" s="3" t="s">
        <v>9</v>
      </c>
      <c r="D1" s="1" t="s">
        <v>0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>
        <v>1</v>
      </c>
      <c r="B2">
        <f t="shared" ref="B2:B12" si="0">-43.96*0.5</f>
        <v>-21.98</v>
      </c>
      <c r="C2">
        <f t="shared" ref="C2:C34" si="1">-60*B2/2/3.14</f>
        <v>209.99999999999997</v>
      </c>
      <c r="D2">
        <f>1171.5*0.5</f>
        <v>585.75</v>
      </c>
      <c r="E2">
        <f t="shared" ref="E2:E34" si="2">D2/10650</f>
        <v>5.5E-2</v>
      </c>
      <c r="F2" s="2">
        <v>-206.26348999999999</v>
      </c>
      <c r="G2" s="2">
        <v>18048.491999999998</v>
      </c>
      <c r="H2" s="2">
        <v>6.44225308467548</v>
      </c>
      <c r="I2">
        <f t="shared" ref="I2:I34" si="3">G2/10650/9.8+0.61+0.35</f>
        <v>1.1329279678068409</v>
      </c>
      <c r="J2">
        <f t="shared" ref="J2:J34" si="4">D2*I2*9.8</f>
        <v>6503.4030599999996</v>
      </c>
      <c r="K2">
        <f t="shared" ref="K2:K34" si="5">F2*B2</f>
        <v>4533.6715101999998</v>
      </c>
      <c r="L2">
        <f t="shared" ref="L2:L34" si="6">J2/K2</f>
        <v>1.4344671962599043</v>
      </c>
    </row>
    <row r="3" spans="1:12" x14ac:dyDescent="0.25">
      <c r="A3">
        <v>2</v>
      </c>
      <c r="B3">
        <f t="shared" si="0"/>
        <v>-21.98</v>
      </c>
      <c r="C3">
        <f t="shared" si="1"/>
        <v>209.99999999999997</v>
      </c>
      <c r="D3">
        <f>1171.5*0.6</f>
        <v>702.9</v>
      </c>
      <c r="E3">
        <f t="shared" si="2"/>
        <v>6.6000000000000003E-2</v>
      </c>
      <c r="F3" s="2">
        <v>-244.44779</v>
      </c>
      <c r="G3" s="2">
        <v>24161.822</v>
      </c>
      <c r="H3" s="2">
        <v>7.43443009251975</v>
      </c>
      <c r="I3">
        <f t="shared" si="3"/>
        <v>1.1915016000766503</v>
      </c>
      <c r="J3">
        <f t="shared" si="4"/>
        <v>8207.5634519999985</v>
      </c>
      <c r="K3">
        <f t="shared" si="5"/>
        <v>5372.9624242</v>
      </c>
      <c r="L3">
        <f t="shared" si="6"/>
        <v>1.5275676254560915</v>
      </c>
    </row>
    <row r="4" spans="1:12" x14ac:dyDescent="0.25">
      <c r="A4">
        <v>3</v>
      </c>
      <c r="B4">
        <f t="shared" si="0"/>
        <v>-21.98</v>
      </c>
      <c r="C4">
        <f t="shared" si="1"/>
        <v>209.99999999999997</v>
      </c>
      <c r="D4">
        <f>1171.5*0.7</f>
        <v>820.05</v>
      </c>
      <c r="E4">
        <f t="shared" si="2"/>
        <v>7.6999999999999999E-2</v>
      </c>
      <c r="F4" s="2">
        <v>-283.82965999999999</v>
      </c>
      <c r="G4" s="2">
        <v>31415.884999999998</v>
      </c>
      <c r="H4" s="2">
        <v>7.4758386105434598</v>
      </c>
      <c r="I4">
        <f t="shared" si="3"/>
        <v>1.2610049343681133</v>
      </c>
      <c r="J4">
        <f t="shared" si="4"/>
        <v>10134.053545000001</v>
      </c>
      <c r="K4">
        <f t="shared" si="5"/>
        <v>6238.5759268000002</v>
      </c>
      <c r="L4">
        <f t="shared" si="6"/>
        <v>1.6244177619872517</v>
      </c>
    </row>
    <row r="5" spans="1:12" x14ac:dyDescent="0.25">
      <c r="A5">
        <v>4</v>
      </c>
      <c r="B5">
        <f t="shared" si="0"/>
        <v>-21.98</v>
      </c>
      <c r="C5">
        <f t="shared" si="1"/>
        <v>209.99999999999997</v>
      </c>
      <c r="D5">
        <f>1171.5*0.8</f>
        <v>937.2</v>
      </c>
      <c r="E5">
        <f t="shared" si="2"/>
        <v>8.8000000000000009E-2</v>
      </c>
      <c r="F5" s="2">
        <v>-328.89708000000002</v>
      </c>
      <c r="G5" s="2">
        <v>35243.654000000002</v>
      </c>
      <c r="H5" s="2">
        <v>7.9996241082082999</v>
      </c>
      <c r="I5">
        <f t="shared" si="3"/>
        <v>1.2976799271821404</v>
      </c>
      <c r="J5">
        <f t="shared" si="4"/>
        <v>11918.619152000001</v>
      </c>
      <c r="K5">
        <f t="shared" si="5"/>
        <v>7229.1578184000009</v>
      </c>
      <c r="L5">
        <f t="shared" si="6"/>
        <v>1.6486870879570725</v>
      </c>
    </row>
    <row r="6" spans="1:12" x14ac:dyDescent="0.25">
      <c r="A6">
        <v>5</v>
      </c>
      <c r="B6">
        <f t="shared" si="0"/>
        <v>-21.98</v>
      </c>
      <c r="C6">
        <f t="shared" si="1"/>
        <v>209.99999999999997</v>
      </c>
      <c r="D6">
        <f>1171.5*0.9</f>
        <v>1054.3500000000001</v>
      </c>
      <c r="E6">
        <f t="shared" si="2"/>
        <v>9.9000000000000019E-2</v>
      </c>
      <c r="F6" s="2">
        <v>-362.7593</v>
      </c>
      <c r="G6" s="2">
        <v>37997.648999999998</v>
      </c>
      <c r="H6" s="2">
        <v>8.4791501642149605</v>
      </c>
      <c r="I6">
        <f t="shared" si="3"/>
        <v>1.3240667720609371</v>
      </c>
      <c r="J6">
        <f t="shared" si="4"/>
        <v>13681.092051000003</v>
      </c>
      <c r="K6">
        <f t="shared" si="5"/>
        <v>7973.4494139999997</v>
      </c>
      <c r="L6">
        <f t="shared" si="6"/>
        <v>1.7158310463446811</v>
      </c>
    </row>
    <row r="7" spans="1:12" x14ac:dyDescent="0.25">
      <c r="A7">
        <v>6</v>
      </c>
      <c r="B7">
        <f t="shared" si="0"/>
        <v>-21.98</v>
      </c>
      <c r="C7">
        <f t="shared" si="1"/>
        <v>209.99999999999997</v>
      </c>
      <c r="D7">
        <f>1171.5*1</f>
        <v>1171.5</v>
      </c>
      <c r="E7">
        <f t="shared" si="2"/>
        <v>0.11</v>
      </c>
      <c r="F7" s="2">
        <v>-392.69992999999999</v>
      </c>
      <c r="G7" s="2">
        <v>38210.553</v>
      </c>
      <c r="H7" s="2">
        <v>10.245386817836</v>
      </c>
      <c r="I7">
        <f t="shared" si="3"/>
        <v>1.3261066685829261</v>
      </c>
      <c r="J7">
        <f t="shared" si="4"/>
        <v>15224.632830000002</v>
      </c>
      <c r="K7">
        <f t="shared" si="5"/>
        <v>8631.5444614000007</v>
      </c>
      <c r="L7">
        <f t="shared" si="6"/>
        <v>1.7638364603326888</v>
      </c>
    </row>
    <row r="8" spans="1:12" x14ac:dyDescent="0.25">
      <c r="A8">
        <v>7</v>
      </c>
      <c r="B8">
        <f t="shared" si="0"/>
        <v>-21.98</v>
      </c>
      <c r="C8">
        <f t="shared" si="1"/>
        <v>209.99999999999997</v>
      </c>
      <c r="D8">
        <f>1171.5*1.1</f>
        <v>1288.6500000000001</v>
      </c>
      <c r="E8">
        <f t="shared" si="2"/>
        <v>0.12100000000000001</v>
      </c>
      <c r="F8" s="2">
        <v>-419.69553999999999</v>
      </c>
      <c r="G8" s="2">
        <v>38375.625</v>
      </c>
      <c r="H8" s="2">
        <v>9.4043542124349404</v>
      </c>
      <c r="I8">
        <f t="shared" si="3"/>
        <v>1.3276882724920953</v>
      </c>
      <c r="J8">
        <f t="shared" si="4"/>
        <v>16767.069824999999</v>
      </c>
      <c r="K8">
        <f t="shared" si="5"/>
        <v>9224.9079691999996</v>
      </c>
      <c r="L8">
        <f t="shared" si="6"/>
        <v>1.8175866773936031</v>
      </c>
    </row>
    <row r="9" spans="1:12" x14ac:dyDescent="0.25">
      <c r="A9">
        <v>8</v>
      </c>
      <c r="B9">
        <f t="shared" si="0"/>
        <v>-21.98</v>
      </c>
      <c r="C9">
        <f t="shared" si="1"/>
        <v>209.99999999999997</v>
      </c>
      <c r="D9">
        <f>1171.5*1.2</f>
        <v>1405.8</v>
      </c>
      <c r="E9">
        <f t="shared" si="2"/>
        <v>0.13200000000000001</v>
      </c>
      <c r="F9" s="2">
        <v>-437.96118999999999</v>
      </c>
      <c r="G9" s="2">
        <v>40180.875</v>
      </c>
      <c r="H9" s="2">
        <v>9.7805141883198008</v>
      </c>
      <c r="I9">
        <f t="shared" si="3"/>
        <v>1.3449849094567403</v>
      </c>
      <c r="J9">
        <f t="shared" si="4"/>
        <v>18529.641899999999</v>
      </c>
      <c r="K9">
        <f t="shared" si="5"/>
        <v>9626.3869562</v>
      </c>
      <c r="L9">
        <f t="shared" si="6"/>
        <v>1.924880226019352</v>
      </c>
    </row>
    <row r="10" spans="1:12" x14ac:dyDescent="0.25">
      <c r="A10">
        <v>9</v>
      </c>
      <c r="B10">
        <f t="shared" si="0"/>
        <v>-21.98</v>
      </c>
      <c r="C10">
        <f t="shared" si="1"/>
        <v>209.99999999999997</v>
      </c>
      <c r="D10">
        <f>1171.5*1.3</f>
        <v>1522.95</v>
      </c>
      <c r="E10">
        <f t="shared" si="2"/>
        <v>0.14300000000000002</v>
      </c>
      <c r="F10" s="2">
        <v>-429.17315000000002</v>
      </c>
      <c r="G10" s="2">
        <v>23341.714</v>
      </c>
      <c r="H10" s="2">
        <v>9.7161533737181909</v>
      </c>
      <c r="I10">
        <f t="shared" si="3"/>
        <v>1.1836439015042637</v>
      </c>
      <c r="J10">
        <f t="shared" si="4"/>
        <v>17665.778702000003</v>
      </c>
      <c r="K10">
        <f t="shared" si="5"/>
        <v>9433.225837</v>
      </c>
      <c r="L10">
        <f t="shared" si="6"/>
        <v>1.8727187292293386</v>
      </c>
    </row>
    <row r="11" spans="1:12" x14ac:dyDescent="0.25">
      <c r="A11">
        <v>10</v>
      </c>
      <c r="B11">
        <f t="shared" si="0"/>
        <v>-21.98</v>
      </c>
      <c r="C11">
        <f t="shared" si="1"/>
        <v>209.99999999999997</v>
      </c>
      <c r="D11">
        <f>1171.5*1.4</f>
        <v>1640.1</v>
      </c>
      <c r="E11">
        <f t="shared" si="2"/>
        <v>0.154</v>
      </c>
      <c r="F11" s="2">
        <v>-419.65422999999998</v>
      </c>
      <c r="G11" s="2">
        <v>8605.2932999999994</v>
      </c>
      <c r="H11" s="2">
        <v>9.5432637454943094</v>
      </c>
      <c r="I11">
        <f t="shared" si="3"/>
        <v>1.0424498735268755</v>
      </c>
      <c r="J11">
        <f t="shared" si="4"/>
        <v>16755.2759682</v>
      </c>
      <c r="K11">
        <f t="shared" si="5"/>
        <v>9223.9999754</v>
      </c>
      <c r="L11">
        <f t="shared" si="6"/>
        <v>1.8164869918566326</v>
      </c>
    </row>
    <row r="12" spans="1:12" x14ac:dyDescent="0.25">
      <c r="A12">
        <v>11</v>
      </c>
      <c r="B12">
        <f t="shared" si="0"/>
        <v>-21.98</v>
      </c>
      <c r="C12">
        <f t="shared" si="1"/>
        <v>209.99999999999997</v>
      </c>
      <c r="D12">
        <f>1171.5*1.5</f>
        <v>1757.25</v>
      </c>
      <c r="E12">
        <f t="shared" si="2"/>
        <v>0.16500000000000001</v>
      </c>
      <c r="F12" s="2">
        <v>-419.0301</v>
      </c>
      <c r="G12" s="2">
        <v>-7152.2539999999999</v>
      </c>
      <c r="H12" s="2">
        <v>9.5479320412683304</v>
      </c>
      <c r="I12">
        <f t="shared" si="3"/>
        <v>0.89147212800613196</v>
      </c>
      <c r="J12">
        <f t="shared" si="4"/>
        <v>15352.086089999999</v>
      </c>
      <c r="K12">
        <f t="shared" si="5"/>
        <v>9210.2815979999996</v>
      </c>
      <c r="L12">
        <f t="shared" si="6"/>
        <v>1.6668422052734722</v>
      </c>
    </row>
    <row r="13" spans="1:12" x14ac:dyDescent="0.25">
      <c r="A13">
        <v>12</v>
      </c>
      <c r="B13">
        <f t="shared" ref="B13:B23" si="7">-43.96*0.6</f>
        <v>-26.376000000000001</v>
      </c>
      <c r="C13">
        <f t="shared" si="1"/>
        <v>252.00000000000003</v>
      </c>
      <c r="D13">
        <f>1171.5*0.5</f>
        <v>585.75</v>
      </c>
      <c r="E13">
        <f t="shared" si="2"/>
        <v>5.5E-2</v>
      </c>
      <c r="F13" s="2">
        <v>-260.89100999999999</v>
      </c>
      <c r="G13" s="2">
        <v>26147.246999999999</v>
      </c>
      <c r="H13" s="2">
        <v>8.8335267955431895</v>
      </c>
      <c r="I13">
        <f t="shared" si="3"/>
        <v>1.2105245472837023</v>
      </c>
      <c r="J13">
        <f t="shared" si="4"/>
        <v>6948.8345850000005</v>
      </c>
      <c r="K13">
        <f t="shared" si="5"/>
        <v>6881.2612797600004</v>
      </c>
      <c r="L13">
        <f t="shared" si="6"/>
        <v>1.0098199011042865</v>
      </c>
    </row>
    <row r="14" spans="1:12" x14ac:dyDescent="0.25">
      <c r="A14">
        <v>13</v>
      </c>
      <c r="B14">
        <f t="shared" si="7"/>
        <v>-26.376000000000001</v>
      </c>
      <c r="C14">
        <f t="shared" si="1"/>
        <v>252.00000000000003</v>
      </c>
      <c r="D14">
        <f>1171.5*0.6</f>
        <v>702.9</v>
      </c>
      <c r="E14">
        <f t="shared" si="2"/>
        <v>6.6000000000000003E-2</v>
      </c>
      <c r="F14" s="2">
        <v>-294.06324999999998</v>
      </c>
      <c r="G14" s="2">
        <v>25917.855</v>
      </c>
      <c r="H14" s="2">
        <v>8.0301906449798697</v>
      </c>
      <c r="I14">
        <f t="shared" si="3"/>
        <v>1.2083266743317045</v>
      </c>
      <c r="J14">
        <f t="shared" si="4"/>
        <v>8323.4616299999998</v>
      </c>
      <c r="K14">
        <f t="shared" si="5"/>
        <v>7756.2122819999995</v>
      </c>
      <c r="L14">
        <f t="shared" si="6"/>
        <v>1.07313484048347</v>
      </c>
    </row>
    <row r="15" spans="1:12" x14ac:dyDescent="0.25">
      <c r="A15">
        <v>14</v>
      </c>
      <c r="B15">
        <f t="shared" si="7"/>
        <v>-26.376000000000001</v>
      </c>
      <c r="C15">
        <f t="shared" si="1"/>
        <v>252.00000000000003</v>
      </c>
      <c r="D15">
        <f>1171.5*0.7</f>
        <v>820.05</v>
      </c>
      <c r="E15">
        <f t="shared" si="2"/>
        <v>7.6999999999999999E-2</v>
      </c>
      <c r="F15" s="2">
        <v>-344.22169000000002</v>
      </c>
      <c r="G15" s="2">
        <v>34134.264999999999</v>
      </c>
      <c r="H15" s="2">
        <v>8.7970193030931494</v>
      </c>
      <c r="I15">
        <f t="shared" si="3"/>
        <v>1.287050541343298</v>
      </c>
      <c r="J15">
        <f t="shared" si="4"/>
        <v>10343.368805</v>
      </c>
      <c r="K15">
        <f t="shared" si="5"/>
        <v>9079.1912954400013</v>
      </c>
      <c r="L15">
        <f t="shared" si="6"/>
        <v>1.1392389992041392</v>
      </c>
    </row>
    <row r="16" spans="1:12" x14ac:dyDescent="0.25">
      <c r="A16">
        <v>15</v>
      </c>
      <c r="B16">
        <f t="shared" si="7"/>
        <v>-26.376000000000001</v>
      </c>
      <c r="C16">
        <f t="shared" si="1"/>
        <v>252.00000000000003</v>
      </c>
      <c r="D16">
        <f>1171.5*0.8</f>
        <v>937.2</v>
      </c>
      <c r="E16">
        <f t="shared" si="2"/>
        <v>8.8000000000000009E-2</v>
      </c>
      <c r="F16" s="2">
        <v>-388.20632000000001</v>
      </c>
      <c r="G16" s="2">
        <v>40369.044000000002</v>
      </c>
      <c r="H16" s="2">
        <v>8.10581720636924</v>
      </c>
      <c r="I16">
        <f t="shared" si="3"/>
        <v>1.3467878125898247</v>
      </c>
      <c r="J16">
        <f t="shared" si="4"/>
        <v>12369.653472000002</v>
      </c>
      <c r="K16">
        <f t="shared" si="5"/>
        <v>10239.329896320001</v>
      </c>
      <c r="L16">
        <f t="shared" si="6"/>
        <v>1.2080530266385534</v>
      </c>
    </row>
    <row r="17" spans="1:12" x14ac:dyDescent="0.25">
      <c r="A17">
        <v>16</v>
      </c>
      <c r="B17">
        <f t="shared" si="7"/>
        <v>-26.376000000000001</v>
      </c>
      <c r="C17">
        <f t="shared" si="1"/>
        <v>252.00000000000003</v>
      </c>
      <c r="D17">
        <f>1171.5*0.9</f>
        <v>1054.3500000000001</v>
      </c>
      <c r="E17">
        <f t="shared" si="2"/>
        <v>9.9000000000000019E-2</v>
      </c>
      <c r="F17" s="2">
        <v>-445.67162999999999</v>
      </c>
      <c r="G17" s="2">
        <v>45638.682999999997</v>
      </c>
      <c r="H17" s="2">
        <v>8.7071997993636199</v>
      </c>
      <c r="I17">
        <f t="shared" si="3"/>
        <v>1.3972777905528408</v>
      </c>
      <c r="J17">
        <f t="shared" si="4"/>
        <v>14437.554417000003</v>
      </c>
      <c r="K17">
        <f t="shared" si="5"/>
        <v>11755.034912880001</v>
      </c>
      <c r="L17">
        <f t="shared" si="6"/>
        <v>1.2282017470812241</v>
      </c>
    </row>
    <row r="18" spans="1:12" x14ac:dyDescent="0.25">
      <c r="A18">
        <v>17</v>
      </c>
      <c r="B18">
        <f t="shared" si="7"/>
        <v>-26.376000000000001</v>
      </c>
      <c r="C18">
        <f t="shared" si="1"/>
        <v>252.00000000000003</v>
      </c>
      <c r="D18">
        <f>1171.5*1</f>
        <v>1171.5</v>
      </c>
      <c r="E18">
        <f t="shared" si="2"/>
        <v>0.11</v>
      </c>
      <c r="F18" s="2">
        <v>-490.35185999999999</v>
      </c>
      <c r="G18" s="2">
        <v>50724.762999999999</v>
      </c>
      <c r="H18" s="2">
        <v>9.7070461062529905</v>
      </c>
      <c r="I18">
        <f t="shared" si="3"/>
        <v>1.4460090351633612</v>
      </c>
      <c r="J18">
        <f t="shared" si="4"/>
        <v>16601.195930000002</v>
      </c>
      <c r="K18">
        <f t="shared" si="5"/>
        <v>12933.52065936</v>
      </c>
      <c r="L18">
        <f t="shared" si="6"/>
        <v>1.2835790321319587</v>
      </c>
    </row>
    <row r="19" spans="1:12" x14ac:dyDescent="0.25">
      <c r="A19">
        <v>18</v>
      </c>
      <c r="B19">
        <f t="shared" si="7"/>
        <v>-26.376000000000001</v>
      </c>
      <c r="C19">
        <f t="shared" si="1"/>
        <v>252.00000000000003</v>
      </c>
      <c r="D19">
        <f>1171.5*1.1</f>
        <v>1288.6500000000001</v>
      </c>
      <c r="E19">
        <f t="shared" si="2"/>
        <v>0.12100000000000001</v>
      </c>
      <c r="F19" s="2">
        <v>-530.46771000000001</v>
      </c>
      <c r="G19" s="2">
        <v>54547.919000000002</v>
      </c>
      <c r="H19" s="2">
        <v>10.4473960425076</v>
      </c>
      <c r="I19">
        <f t="shared" si="3"/>
        <v>1.482639829452908</v>
      </c>
      <c r="J19">
        <f t="shared" si="4"/>
        <v>18723.917399000002</v>
      </c>
      <c r="K19">
        <f t="shared" si="5"/>
        <v>13991.616318960001</v>
      </c>
      <c r="L19">
        <f t="shared" si="6"/>
        <v>1.3382240458972043</v>
      </c>
    </row>
    <row r="20" spans="1:12" x14ac:dyDescent="0.25">
      <c r="A20">
        <v>19</v>
      </c>
      <c r="B20">
        <f t="shared" si="7"/>
        <v>-26.376000000000001</v>
      </c>
      <c r="C20">
        <f t="shared" si="1"/>
        <v>252.00000000000003</v>
      </c>
      <c r="D20">
        <f>1171.5*1.2</f>
        <v>1405.8</v>
      </c>
      <c r="E20">
        <f t="shared" si="2"/>
        <v>0.13200000000000001</v>
      </c>
      <c r="F20" s="2">
        <v>-564.76045999999997</v>
      </c>
      <c r="G20" s="2">
        <v>54713.046999999999</v>
      </c>
      <c r="H20" s="2">
        <v>11.983499033286099</v>
      </c>
      <c r="I20">
        <f t="shared" si="3"/>
        <v>1.4842219699147265</v>
      </c>
      <c r="J20">
        <f t="shared" si="4"/>
        <v>20447.888604000003</v>
      </c>
      <c r="K20">
        <f t="shared" si="5"/>
        <v>14896.12189296</v>
      </c>
      <c r="L20">
        <f t="shared" si="6"/>
        <v>1.3726987971052924</v>
      </c>
    </row>
    <row r="21" spans="1:12" x14ac:dyDescent="0.25">
      <c r="A21">
        <v>20</v>
      </c>
      <c r="B21">
        <f t="shared" si="7"/>
        <v>-26.376000000000001</v>
      </c>
      <c r="C21">
        <f t="shared" si="1"/>
        <v>252.00000000000003</v>
      </c>
      <c r="D21">
        <f>1171.5*1.3</f>
        <v>1522.95</v>
      </c>
      <c r="E21">
        <f t="shared" si="2"/>
        <v>0.14300000000000002</v>
      </c>
      <c r="F21" s="2">
        <v>-599.47712000000001</v>
      </c>
      <c r="G21" s="2">
        <v>57496.421000000002</v>
      </c>
      <c r="H21" s="2">
        <v>11.6325666048463</v>
      </c>
      <c r="I21">
        <f t="shared" si="3"/>
        <v>1.5108903037271246</v>
      </c>
      <c r="J21">
        <f t="shared" si="4"/>
        <v>22549.901803000004</v>
      </c>
      <c r="K21">
        <f t="shared" si="5"/>
        <v>15811.808517120002</v>
      </c>
      <c r="L21">
        <f t="shared" si="6"/>
        <v>1.4261431118764454</v>
      </c>
    </row>
    <row r="22" spans="1:12" x14ac:dyDescent="0.25">
      <c r="A22">
        <v>21</v>
      </c>
      <c r="B22">
        <f t="shared" si="7"/>
        <v>-26.376000000000001</v>
      </c>
      <c r="C22">
        <f t="shared" si="1"/>
        <v>252.00000000000003</v>
      </c>
      <c r="D22">
        <f>1171.5*1.4</f>
        <v>1640.1</v>
      </c>
      <c r="E22">
        <f t="shared" si="2"/>
        <v>0.154</v>
      </c>
      <c r="F22" s="2">
        <v>-628.57744000000002</v>
      </c>
      <c r="G22" s="2">
        <v>57128.322999999997</v>
      </c>
      <c r="H22" s="2">
        <v>11.730816786413801</v>
      </c>
      <c r="I22">
        <f t="shared" si="3"/>
        <v>1.5073634473507713</v>
      </c>
      <c r="J22">
        <f t="shared" si="4"/>
        <v>24227.822541999998</v>
      </c>
      <c r="K22">
        <f t="shared" si="5"/>
        <v>16579.358557440002</v>
      </c>
      <c r="L22">
        <f t="shared" si="6"/>
        <v>1.4613244811650292</v>
      </c>
    </row>
    <row r="23" spans="1:12" x14ac:dyDescent="0.25">
      <c r="A23">
        <v>22</v>
      </c>
      <c r="B23">
        <f t="shared" si="7"/>
        <v>-26.376000000000001</v>
      </c>
      <c r="C23">
        <f t="shared" si="1"/>
        <v>252.00000000000003</v>
      </c>
      <c r="D23">
        <f>1171.5*1.5</f>
        <v>1757.25</v>
      </c>
      <c r="E23">
        <f t="shared" si="2"/>
        <v>0.16500000000000001</v>
      </c>
      <c r="F23" s="2">
        <v>-629.11373000000003</v>
      </c>
      <c r="G23" s="2">
        <v>46437.036999999997</v>
      </c>
      <c r="H23" s="2">
        <v>11.9735780346181</v>
      </c>
      <c r="I23">
        <f t="shared" si="3"/>
        <v>1.4049270575835968</v>
      </c>
      <c r="J23">
        <f t="shared" si="4"/>
        <v>24194.319104999999</v>
      </c>
      <c r="K23">
        <f t="shared" si="5"/>
        <v>16593.503742480003</v>
      </c>
      <c r="L23">
        <f t="shared" si="6"/>
        <v>1.4580597009817533</v>
      </c>
    </row>
    <row r="24" spans="1:12" x14ac:dyDescent="0.25">
      <c r="A24">
        <v>23</v>
      </c>
      <c r="B24">
        <f t="shared" ref="B24:B34" si="8">-43.96*0.7</f>
        <v>-30.771999999999998</v>
      </c>
      <c r="C24">
        <f t="shared" si="1"/>
        <v>294</v>
      </c>
      <c r="D24">
        <f>1171.5*0.5</f>
        <v>585.75</v>
      </c>
      <c r="E24">
        <f t="shared" si="2"/>
        <v>5.5E-2</v>
      </c>
      <c r="F24" s="2">
        <v>-314.84917999999999</v>
      </c>
      <c r="G24" s="2">
        <v>29146.797999999999</v>
      </c>
      <c r="H24" s="2">
        <v>10.650830243387199</v>
      </c>
      <c r="I24">
        <f t="shared" si="3"/>
        <v>1.2392641372041773</v>
      </c>
      <c r="J24">
        <f t="shared" si="4"/>
        <v>7113.8098899999995</v>
      </c>
      <c r="K24">
        <f t="shared" si="5"/>
        <v>9688.538966959999</v>
      </c>
      <c r="L24">
        <f t="shared" si="6"/>
        <v>0.73425001584445504</v>
      </c>
    </row>
    <row r="25" spans="1:12" x14ac:dyDescent="0.25">
      <c r="A25">
        <v>24</v>
      </c>
      <c r="B25">
        <f t="shared" si="8"/>
        <v>-30.771999999999998</v>
      </c>
      <c r="C25">
        <f t="shared" si="1"/>
        <v>294</v>
      </c>
      <c r="D25">
        <f>1171.5*0.6</f>
        <v>702.9</v>
      </c>
      <c r="E25">
        <f t="shared" si="2"/>
        <v>6.6000000000000003E-2</v>
      </c>
      <c r="F25" s="2">
        <v>-358.85879999999997</v>
      </c>
      <c r="G25" s="2">
        <v>33719.582000000002</v>
      </c>
      <c r="H25" s="2">
        <v>10.511491161573399</v>
      </c>
      <c r="I25">
        <f t="shared" si="3"/>
        <v>1.2830773402318671</v>
      </c>
      <c r="J25">
        <f t="shared" si="4"/>
        <v>8838.375611999998</v>
      </c>
      <c r="K25">
        <f t="shared" si="5"/>
        <v>11042.802993599998</v>
      </c>
      <c r="L25">
        <f t="shared" si="6"/>
        <v>0.80037429057843323</v>
      </c>
    </row>
    <row r="26" spans="1:12" x14ac:dyDescent="0.25">
      <c r="A26">
        <v>25</v>
      </c>
      <c r="B26">
        <f t="shared" si="8"/>
        <v>-30.771999999999998</v>
      </c>
      <c r="C26">
        <f t="shared" si="1"/>
        <v>294</v>
      </c>
      <c r="D26">
        <f>1171.5*0.7</f>
        <v>820.05</v>
      </c>
      <c r="E26">
        <f t="shared" si="2"/>
        <v>7.6999999999999999E-2</v>
      </c>
      <c r="F26" s="2">
        <v>-402.08393999999998</v>
      </c>
      <c r="G26" s="2">
        <v>36942.684999999998</v>
      </c>
      <c r="H26" s="2">
        <v>9.6877758177421995</v>
      </c>
      <c r="I26">
        <f t="shared" si="3"/>
        <v>1.3139588483280635</v>
      </c>
      <c r="J26">
        <f t="shared" si="4"/>
        <v>10559.617145</v>
      </c>
      <c r="K26">
        <f t="shared" si="5"/>
        <v>12372.927001679998</v>
      </c>
      <c r="L26">
        <f t="shared" si="6"/>
        <v>0.85344536046856279</v>
      </c>
    </row>
    <row r="27" spans="1:12" x14ac:dyDescent="0.25">
      <c r="A27">
        <v>26</v>
      </c>
      <c r="B27">
        <f t="shared" si="8"/>
        <v>-30.771999999999998</v>
      </c>
      <c r="C27">
        <f t="shared" si="1"/>
        <v>294</v>
      </c>
      <c r="D27">
        <f>1171.5*0.8</f>
        <v>937.2</v>
      </c>
      <c r="E27">
        <f t="shared" si="2"/>
        <v>8.8000000000000009E-2</v>
      </c>
      <c r="F27" s="2">
        <v>-464.30781000000002</v>
      </c>
      <c r="G27" s="2">
        <v>47499.697</v>
      </c>
      <c r="H27" s="2">
        <v>10.5902062410991</v>
      </c>
      <c r="I27">
        <f t="shared" si="3"/>
        <v>1.4151087189805498</v>
      </c>
      <c r="J27">
        <f t="shared" si="4"/>
        <v>12997.150936</v>
      </c>
      <c r="K27">
        <f t="shared" si="5"/>
        <v>14287.67992932</v>
      </c>
      <c r="L27">
        <f t="shared" si="6"/>
        <v>0.90967539868585079</v>
      </c>
    </row>
    <row r="28" spans="1:12" x14ac:dyDescent="0.25">
      <c r="A28">
        <v>27</v>
      </c>
      <c r="B28">
        <f t="shared" si="8"/>
        <v>-30.771999999999998</v>
      </c>
      <c r="C28">
        <f t="shared" si="1"/>
        <v>294</v>
      </c>
      <c r="D28">
        <f>1171.5*0.9</f>
        <v>1054.3500000000001</v>
      </c>
      <c r="E28">
        <f t="shared" si="2"/>
        <v>9.9000000000000019E-2</v>
      </c>
      <c r="F28" s="2">
        <v>-506.26735000000002</v>
      </c>
      <c r="G28" s="2">
        <v>53370.296999999999</v>
      </c>
      <c r="H28" s="2">
        <v>9.4322928972232294</v>
      </c>
      <c r="I28">
        <f t="shared" si="3"/>
        <v>1.4713566829548719</v>
      </c>
      <c r="J28">
        <f t="shared" si="4"/>
        <v>15202.984203</v>
      </c>
      <c r="K28">
        <f t="shared" si="5"/>
        <v>15578.858894200001</v>
      </c>
      <c r="L28">
        <f t="shared" si="6"/>
        <v>0.97587277131446781</v>
      </c>
    </row>
    <row r="29" spans="1:12" x14ac:dyDescent="0.25">
      <c r="A29">
        <v>28</v>
      </c>
      <c r="B29">
        <f t="shared" si="8"/>
        <v>-30.771999999999998</v>
      </c>
      <c r="C29">
        <f t="shared" si="1"/>
        <v>294</v>
      </c>
      <c r="D29">
        <f>1171.5*1</f>
        <v>1171.5</v>
      </c>
      <c r="E29">
        <f t="shared" si="2"/>
        <v>0.11</v>
      </c>
      <c r="F29" s="2">
        <v>-575.08529999999996</v>
      </c>
      <c r="G29" s="2">
        <v>62182.385000000002</v>
      </c>
      <c r="H29" s="2">
        <v>10.515300795017099</v>
      </c>
      <c r="I29">
        <f t="shared" si="3"/>
        <v>1.555787917984095</v>
      </c>
      <c r="J29">
        <f t="shared" si="4"/>
        <v>17861.534349999998</v>
      </c>
      <c r="K29">
        <f t="shared" si="5"/>
        <v>17696.524851599999</v>
      </c>
      <c r="L29">
        <f t="shared" si="6"/>
        <v>1.0093244012473488</v>
      </c>
    </row>
    <row r="30" spans="1:12" x14ac:dyDescent="0.25">
      <c r="A30">
        <v>29</v>
      </c>
      <c r="B30">
        <f t="shared" si="8"/>
        <v>-30.771999999999998</v>
      </c>
      <c r="C30">
        <f t="shared" si="1"/>
        <v>294</v>
      </c>
      <c r="D30">
        <f>1171.5*1.1</f>
        <v>1288.6500000000001</v>
      </c>
      <c r="E30">
        <f t="shared" si="2"/>
        <v>0.12100000000000001</v>
      </c>
      <c r="F30" s="2">
        <v>-634.44698000000005</v>
      </c>
      <c r="G30" s="2">
        <v>68911.25</v>
      </c>
      <c r="H30" s="2">
        <v>11.5353392744437</v>
      </c>
      <c r="I30">
        <f t="shared" si="3"/>
        <v>1.6202591740921721</v>
      </c>
      <c r="J30">
        <f t="shared" si="4"/>
        <v>20461.880450000004</v>
      </c>
      <c r="K30">
        <f t="shared" si="5"/>
        <v>19523.202468560001</v>
      </c>
      <c r="L30">
        <f t="shared" si="6"/>
        <v>1.048080123276478</v>
      </c>
    </row>
    <row r="31" spans="1:12" x14ac:dyDescent="0.25">
      <c r="A31">
        <v>30</v>
      </c>
      <c r="B31">
        <f t="shared" si="8"/>
        <v>-30.771999999999998</v>
      </c>
      <c r="C31">
        <f t="shared" si="1"/>
        <v>294</v>
      </c>
      <c r="D31">
        <f>1171.5*1.2</f>
        <v>1405.8</v>
      </c>
      <c r="E31">
        <f t="shared" si="2"/>
        <v>0.13200000000000001</v>
      </c>
      <c r="F31" s="2">
        <v>-683.76918999999998</v>
      </c>
      <c r="G31" s="2">
        <v>73479.634999999995</v>
      </c>
      <c r="H31" s="2">
        <v>11.6366978162423</v>
      </c>
      <c r="I31">
        <f t="shared" si="3"/>
        <v>1.6640302289930053</v>
      </c>
      <c r="J31">
        <f t="shared" si="4"/>
        <v>22925.078219999996</v>
      </c>
      <c r="K31">
        <f t="shared" si="5"/>
        <v>21040.945514679999</v>
      </c>
      <c r="L31">
        <f t="shared" si="6"/>
        <v>1.0895460094226974</v>
      </c>
    </row>
    <row r="32" spans="1:12" x14ac:dyDescent="0.25">
      <c r="A32">
        <v>31</v>
      </c>
      <c r="B32">
        <f t="shared" si="8"/>
        <v>-30.771999999999998</v>
      </c>
      <c r="C32">
        <f t="shared" si="1"/>
        <v>294</v>
      </c>
      <c r="D32">
        <f>1171.5*1.3</f>
        <v>1522.95</v>
      </c>
      <c r="E32">
        <f t="shared" si="2"/>
        <v>0.14300000000000002</v>
      </c>
      <c r="F32" s="2">
        <v>-729.60248999999999</v>
      </c>
      <c r="G32" s="2">
        <v>75007.551000000007</v>
      </c>
      <c r="H32" s="2">
        <v>12.8641939744548</v>
      </c>
      <c r="I32">
        <f t="shared" si="3"/>
        <v>1.6786696464501292</v>
      </c>
      <c r="J32">
        <f t="shared" si="4"/>
        <v>25053.993392999997</v>
      </c>
      <c r="K32">
        <f t="shared" si="5"/>
        <v>22451.32782228</v>
      </c>
      <c r="L32">
        <f t="shared" si="6"/>
        <v>1.1159247947970896</v>
      </c>
    </row>
    <row r="33" spans="1:12" x14ac:dyDescent="0.25">
      <c r="A33">
        <v>32</v>
      </c>
      <c r="B33">
        <f t="shared" si="8"/>
        <v>-30.771999999999998</v>
      </c>
      <c r="C33">
        <f t="shared" si="1"/>
        <v>294</v>
      </c>
      <c r="D33">
        <f>1171.5*1.4</f>
        <v>1640.1</v>
      </c>
      <c r="E33">
        <f t="shared" si="2"/>
        <v>0.154</v>
      </c>
      <c r="F33" s="2">
        <v>-769.98014000000001</v>
      </c>
      <c r="G33" s="2">
        <v>75448.342999999993</v>
      </c>
      <c r="H33" s="2">
        <v>13.870382940199701</v>
      </c>
      <c r="I33">
        <f t="shared" si="3"/>
        <v>1.6828930056529652</v>
      </c>
      <c r="J33">
        <f t="shared" si="4"/>
        <v>27049.105621999995</v>
      </c>
      <c r="K33">
        <f t="shared" si="5"/>
        <v>23693.82886808</v>
      </c>
      <c r="L33">
        <f t="shared" si="6"/>
        <v>1.1416097319095682</v>
      </c>
    </row>
    <row r="34" spans="1:12" x14ac:dyDescent="0.25">
      <c r="A34">
        <v>33</v>
      </c>
      <c r="B34">
        <f t="shared" si="8"/>
        <v>-30.771999999999998</v>
      </c>
      <c r="C34">
        <f t="shared" si="1"/>
        <v>294</v>
      </c>
      <c r="D34">
        <f>1171.5*1.5</f>
        <v>1757.25</v>
      </c>
      <c r="E34">
        <f t="shared" si="2"/>
        <v>0.16500000000000001</v>
      </c>
      <c r="F34" s="2">
        <v>-811.06074000000001</v>
      </c>
      <c r="G34" s="2">
        <v>74663.442999999999</v>
      </c>
      <c r="H34" s="2">
        <v>14.3065761562045</v>
      </c>
      <c r="I34">
        <f t="shared" si="3"/>
        <v>1.6753726453961866</v>
      </c>
      <c r="J34">
        <f t="shared" si="4"/>
        <v>28851.676095000003</v>
      </c>
      <c r="K34">
        <f t="shared" si="5"/>
        <v>24957.961091279998</v>
      </c>
      <c r="L34">
        <f t="shared" si="6"/>
        <v>1.1560109413376889</v>
      </c>
    </row>
    <row r="35" spans="1:12" x14ac:dyDescent="0.25">
      <c r="A35">
        <v>34</v>
      </c>
      <c r="B35">
        <f t="shared" ref="B35:B45" si="9">-43.96*0.8</f>
        <v>-35.167999999999999</v>
      </c>
      <c r="D35">
        <f>1171.5*0.5</f>
        <v>585.75</v>
      </c>
      <c r="F35" s="2">
        <v>-418.19051999999999</v>
      </c>
      <c r="G35" s="2">
        <v>38785.182000000001</v>
      </c>
      <c r="H35" s="2">
        <v>11.8476588858334</v>
      </c>
    </row>
    <row r="36" spans="1:12" x14ac:dyDescent="0.25">
      <c r="A36">
        <v>35</v>
      </c>
      <c r="B36">
        <f t="shared" si="9"/>
        <v>-35.167999999999999</v>
      </c>
      <c r="D36">
        <f>1171.5*0.6</f>
        <v>702.9</v>
      </c>
      <c r="F36" s="2">
        <v>-477.76731999999998</v>
      </c>
      <c r="G36" s="2">
        <v>50469.777000000002</v>
      </c>
      <c r="H36" s="2">
        <v>11.991677300043699</v>
      </c>
    </row>
    <row r="37" spans="1:12" x14ac:dyDescent="0.25">
      <c r="A37">
        <v>36</v>
      </c>
      <c r="B37">
        <f t="shared" si="9"/>
        <v>-35.167999999999999</v>
      </c>
      <c r="D37">
        <f>1171.5*0.7</f>
        <v>820.05</v>
      </c>
      <c r="F37" s="2">
        <v>-525.28554999999994</v>
      </c>
      <c r="G37" s="2">
        <v>49937.402999999998</v>
      </c>
      <c r="H37" s="2">
        <v>11.124739028192099</v>
      </c>
    </row>
    <row r="38" spans="1:12" x14ac:dyDescent="0.25">
      <c r="A38">
        <v>37</v>
      </c>
      <c r="B38">
        <f t="shared" si="9"/>
        <v>-35.167999999999999</v>
      </c>
      <c r="D38">
        <f>1171.5*0.8</f>
        <v>937.2</v>
      </c>
      <c r="F38" s="2">
        <v>-602.66169000000002</v>
      </c>
      <c r="G38" s="2">
        <v>65775.360000000001</v>
      </c>
      <c r="H38" s="2">
        <v>12.097713985819</v>
      </c>
    </row>
    <row r="39" spans="1:12" x14ac:dyDescent="0.25">
      <c r="A39">
        <v>38</v>
      </c>
      <c r="B39">
        <f t="shared" si="9"/>
        <v>-35.167999999999999</v>
      </c>
      <c r="D39">
        <f>1171.5*0.9</f>
        <v>1054.3500000000001</v>
      </c>
      <c r="F39" s="2">
        <v>-641.79129999999998</v>
      </c>
      <c r="G39" s="2">
        <v>64402.95</v>
      </c>
      <c r="H39" s="2">
        <v>10.9877275134149</v>
      </c>
    </row>
    <row r="40" spans="1:12" x14ac:dyDescent="0.25">
      <c r="A40">
        <v>39</v>
      </c>
      <c r="B40">
        <f t="shared" si="9"/>
        <v>-35.167999999999999</v>
      </c>
      <c r="D40">
        <f>1171.5*1</f>
        <v>1171.5</v>
      </c>
      <c r="F40" s="2">
        <v>-709.67529999999999</v>
      </c>
      <c r="G40" s="2">
        <v>78369.985000000001</v>
      </c>
      <c r="H40" s="2">
        <v>11.7787834976232</v>
      </c>
    </row>
    <row r="41" spans="1:12" x14ac:dyDescent="0.25">
      <c r="A41">
        <v>40</v>
      </c>
      <c r="B41">
        <f t="shared" si="9"/>
        <v>-35.167999999999999</v>
      </c>
      <c r="D41">
        <f>1171.5*1.1</f>
        <v>1288.6500000000001</v>
      </c>
      <c r="F41" s="2">
        <v>-789.14431999999999</v>
      </c>
      <c r="G41" s="2">
        <v>85382.942999999999</v>
      </c>
      <c r="H41" s="2">
        <v>11.8754516076923</v>
      </c>
    </row>
    <row r="42" spans="1:12" x14ac:dyDescent="0.25">
      <c r="A42">
        <v>41</v>
      </c>
      <c r="B42">
        <f t="shared" si="9"/>
        <v>-35.167999999999999</v>
      </c>
      <c r="D42">
        <f>1171.5*1.2</f>
        <v>1405.8</v>
      </c>
      <c r="F42" s="2">
        <v>-853.02535</v>
      </c>
      <c r="G42" s="2">
        <v>93217.145000000004</v>
      </c>
      <c r="H42" s="2">
        <v>13.651071347371801</v>
      </c>
    </row>
    <row r="43" spans="1:12" x14ac:dyDescent="0.25">
      <c r="A43">
        <v>42</v>
      </c>
      <c r="B43">
        <f t="shared" si="9"/>
        <v>-35.167999999999999</v>
      </c>
      <c r="D43">
        <f>1171.5*1.3</f>
        <v>1522.95</v>
      </c>
      <c r="F43" s="2">
        <v>-908.66493000000003</v>
      </c>
      <c r="G43" s="2">
        <v>97192.448999999993</v>
      </c>
      <c r="H43" s="2">
        <v>13.3612684076906</v>
      </c>
    </row>
    <row r="44" spans="1:12" x14ac:dyDescent="0.25">
      <c r="A44">
        <v>43</v>
      </c>
      <c r="B44">
        <f t="shared" si="9"/>
        <v>-35.167999999999999</v>
      </c>
      <c r="D44">
        <f>1171.5*1.4</f>
        <v>1640.1</v>
      </c>
      <c r="F44" s="2">
        <v>-961.75003000000004</v>
      </c>
      <c r="G44" s="2">
        <v>99996.839000000007</v>
      </c>
      <c r="H44" s="2">
        <v>15.604921788214901</v>
      </c>
    </row>
    <row r="45" spans="1:12" x14ac:dyDescent="0.25">
      <c r="A45">
        <v>44</v>
      </c>
      <c r="B45">
        <f t="shared" si="9"/>
        <v>-35.167999999999999</v>
      </c>
      <c r="D45">
        <f>1171.5*1.5</f>
        <v>1757.25</v>
      </c>
      <c r="F45" s="2">
        <v>-418.59951999999998</v>
      </c>
      <c r="G45" s="2">
        <v>38539.574999999997</v>
      </c>
      <c r="H45" s="2">
        <v>9.9477737168730496</v>
      </c>
    </row>
    <row r="46" spans="1:12" x14ac:dyDescent="0.25">
      <c r="A46">
        <v>45</v>
      </c>
      <c r="B46" s="12">
        <f t="shared" ref="B46:B56" si="10">-43.96*0.9</f>
        <v>-39.564</v>
      </c>
      <c r="C46" s="12"/>
      <c r="D46" s="12">
        <f>1171.5*0.5</f>
        <v>585.75</v>
      </c>
      <c r="F46" s="2">
        <v>-482.39317999999997</v>
      </c>
      <c r="G46" s="2">
        <v>48349.184000000001</v>
      </c>
      <c r="H46" s="2">
        <v>13.389254609205</v>
      </c>
    </row>
    <row r="47" spans="1:12" x14ac:dyDescent="0.25">
      <c r="A47" s="13">
        <v>46</v>
      </c>
      <c r="B47">
        <f t="shared" si="10"/>
        <v>-39.564</v>
      </c>
      <c r="D47">
        <f>1171.5*0.6</f>
        <v>702.9</v>
      </c>
      <c r="F47" s="2">
        <v>-544.32132000000001</v>
      </c>
      <c r="G47" s="2">
        <v>50405.438999999998</v>
      </c>
      <c r="H47" s="2">
        <v>13.399833024883099</v>
      </c>
    </row>
    <row r="48" spans="1:12" x14ac:dyDescent="0.25">
      <c r="A48">
        <v>47</v>
      </c>
      <c r="B48">
        <f t="shared" si="10"/>
        <v>-39.564</v>
      </c>
      <c r="D48">
        <f>1171.5*0.7</f>
        <v>820.05</v>
      </c>
      <c r="F48" s="2">
        <v>-617.14432999999997</v>
      </c>
      <c r="G48" s="2">
        <v>64884.612000000001</v>
      </c>
      <c r="H48" s="2">
        <v>13.540724507248401</v>
      </c>
    </row>
    <row r="49" spans="1:8" x14ac:dyDescent="0.25">
      <c r="A49">
        <v>48</v>
      </c>
      <c r="B49">
        <f t="shared" si="10"/>
        <v>-39.564</v>
      </c>
      <c r="D49">
        <f>1171.5*0.8</f>
        <v>937.2</v>
      </c>
      <c r="F49" s="2">
        <v>-664.20401000000004</v>
      </c>
      <c r="G49" s="2">
        <v>63087.622000000003</v>
      </c>
      <c r="H49" s="2">
        <v>12.3873921511322</v>
      </c>
    </row>
    <row r="50" spans="1:8" x14ac:dyDescent="0.25">
      <c r="A50">
        <v>49</v>
      </c>
      <c r="B50">
        <f t="shared" si="10"/>
        <v>-39.564</v>
      </c>
      <c r="D50">
        <f>1171.5*0.9</f>
        <v>1054.3500000000001</v>
      </c>
      <c r="F50" s="2">
        <v>-747.33753999999999</v>
      </c>
      <c r="G50" s="2">
        <v>81450.519</v>
      </c>
      <c r="H50" s="2">
        <v>13.1952574299027</v>
      </c>
    </row>
    <row r="51" spans="1:8" x14ac:dyDescent="0.25">
      <c r="A51">
        <v>50</v>
      </c>
      <c r="B51">
        <f t="shared" si="10"/>
        <v>-39.564</v>
      </c>
      <c r="D51">
        <f>1171.5*1</f>
        <v>1171.5</v>
      </c>
      <c r="F51" s="2">
        <v>-799.57951000000003</v>
      </c>
      <c r="G51" s="2">
        <v>79507.354000000007</v>
      </c>
      <c r="H51" s="2">
        <v>12.1797160818062</v>
      </c>
    </row>
    <row r="52" spans="1:8" x14ac:dyDescent="0.25">
      <c r="A52">
        <v>51</v>
      </c>
      <c r="B52">
        <f t="shared" si="10"/>
        <v>-39.564</v>
      </c>
      <c r="D52">
        <f>1171.5*1.1</f>
        <v>1288.6500000000001</v>
      </c>
      <c r="F52" s="2">
        <v>-869.19129999999996</v>
      </c>
      <c r="G52" s="2">
        <v>94554.98</v>
      </c>
      <c r="H52" s="2">
        <v>12.2612414164863</v>
      </c>
    </row>
    <row r="53" spans="1:8" x14ac:dyDescent="0.25">
      <c r="A53">
        <v>52</v>
      </c>
      <c r="B53">
        <f t="shared" si="10"/>
        <v>-39.564</v>
      </c>
      <c r="D53">
        <f>1171.5*1.2</f>
        <v>1405.8</v>
      </c>
      <c r="F53" s="2">
        <v>-960.89355999999998</v>
      </c>
      <c r="G53" s="2">
        <v>101501.9</v>
      </c>
      <c r="H53" s="2">
        <v>13.2909816897802</v>
      </c>
    </row>
    <row r="54" spans="1:8" x14ac:dyDescent="0.25">
      <c r="A54">
        <v>53</v>
      </c>
      <c r="B54">
        <f t="shared" si="10"/>
        <v>-39.564</v>
      </c>
      <c r="D54">
        <f>1171.5*1.3</f>
        <v>1522.95</v>
      </c>
      <c r="F54" s="2">
        <v>-1037.3646000000001</v>
      </c>
      <c r="G54" s="2">
        <v>114899.86</v>
      </c>
      <c r="H54" s="2">
        <v>15.1562948215843</v>
      </c>
    </row>
    <row r="55" spans="1:8" x14ac:dyDescent="0.25">
      <c r="A55">
        <v>54</v>
      </c>
      <c r="B55">
        <f t="shared" si="10"/>
        <v>-39.564</v>
      </c>
      <c r="D55">
        <f>1171.5*1.4</f>
        <v>1640.1</v>
      </c>
      <c r="F55" s="2">
        <v>-1102.0423000000001</v>
      </c>
      <c r="G55" s="2">
        <v>120669.25</v>
      </c>
      <c r="H55" s="2">
        <v>15.094739329860699</v>
      </c>
    </row>
    <row r="56" spans="1:8" x14ac:dyDescent="0.25">
      <c r="A56">
        <v>55</v>
      </c>
      <c r="B56">
        <f t="shared" si="10"/>
        <v>-39.564</v>
      </c>
      <c r="D56">
        <f>1171.5*1.5</f>
        <v>1757.25</v>
      </c>
      <c r="F56" s="2">
        <v>-484.82992000000002</v>
      </c>
      <c r="G56" s="2">
        <v>53483.343000000001</v>
      </c>
      <c r="H56" s="2">
        <v>11.108649036799701</v>
      </c>
    </row>
    <row r="57" spans="1:8" x14ac:dyDescent="0.25">
      <c r="A57">
        <v>56</v>
      </c>
      <c r="B57">
        <f t="shared" ref="B57:B67" si="11">-43.96*1</f>
        <v>-43.96</v>
      </c>
      <c r="D57">
        <f>1171.5*0.5</f>
        <v>585.75</v>
      </c>
      <c r="F57" s="2">
        <v>-554.67646000000002</v>
      </c>
      <c r="G57" s="2">
        <v>54887.091999999997</v>
      </c>
      <c r="H57" s="2">
        <v>11.1888657395435</v>
      </c>
    </row>
    <row r="58" spans="1:8" x14ac:dyDescent="0.25">
      <c r="A58">
        <v>57</v>
      </c>
      <c r="B58">
        <f t="shared" si="11"/>
        <v>-43.96</v>
      </c>
      <c r="D58">
        <f>1171.5*0.6</f>
        <v>702.9</v>
      </c>
      <c r="F58" s="2">
        <v>-609.27301</v>
      </c>
      <c r="G58" s="2">
        <v>62476.86</v>
      </c>
      <c r="H58" s="2">
        <v>13.107677220069499</v>
      </c>
    </row>
    <row r="59" spans="1:8" x14ac:dyDescent="0.25">
      <c r="A59">
        <v>58</v>
      </c>
      <c r="B59">
        <f t="shared" si="11"/>
        <v>-43.96</v>
      </c>
      <c r="D59">
        <f>1171.5*0.7</f>
        <v>820.05</v>
      </c>
      <c r="F59" s="2">
        <v>-684.25608999999997</v>
      </c>
      <c r="G59" s="2">
        <v>59392.118999999999</v>
      </c>
      <c r="H59" s="2">
        <v>14.592561410623</v>
      </c>
    </row>
    <row r="60" spans="1:8" x14ac:dyDescent="0.25">
      <c r="A60">
        <v>59</v>
      </c>
      <c r="B60">
        <f t="shared" si="11"/>
        <v>-43.96</v>
      </c>
      <c r="D60">
        <f>1171.5*0.8</f>
        <v>937.2</v>
      </c>
      <c r="F60" s="2">
        <v>-777.30137000000002</v>
      </c>
      <c r="G60" s="2">
        <v>87063.692999999999</v>
      </c>
      <c r="H60" s="2">
        <v>15.4153358280187</v>
      </c>
    </row>
    <row r="61" spans="1:8" x14ac:dyDescent="0.25">
      <c r="A61">
        <v>60</v>
      </c>
      <c r="B61">
        <f t="shared" si="11"/>
        <v>-43.96</v>
      </c>
      <c r="D61">
        <f>1171.5*0.9</f>
        <v>1054.3500000000001</v>
      </c>
      <c r="F61" s="2">
        <v>-818.76287000000002</v>
      </c>
      <c r="G61" s="2">
        <v>78811.464000000007</v>
      </c>
      <c r="H61" s="2">
        <v>13.736890182908599</v>
      </c>
    </row>
    <row r="62" spans="1:8" x14ac:dyDescent="0.25">
      <c r="A62">
        <v>61</v>
      </c>
      <c r="B62">
        <f t="shared" si="11"/>
        <v>-43.96</v>
      </c>
      <c r="D62">
        <f>1171.5*1</f>
        <v>1171.5</v>
      </c>
      <c r="F62" s="2">
        <v>-914.05017999999995</v>
      </c>
      <c r="G62" s="2">
        <v>103824.26</v>
      </c>
      <c r="H62" s="2">
        <v>14.918929544970201</v>
      </c>
    </row>
    <row r="63" spans="1:8" x14ac:dyDescent="0.25">
      <c r="A63">
        <v>62</v>
      </c>
      <c r="B63">
        <f t="shared" si="11"/>
        <v>-43.96</v>
      </c>
      <c r="D63">
        <f>1171.5*1.1</f>
        <v>1288.6500000000001</v>
      </c>
      <c r="F63" s="2">
        <v>-975.17741000000001</v>
      </c>
      <c r="G63" s="2">
        <v>97397.369000000006</v>
      </c>
      <c r="H63" s="2">
        <v>14.810532727214101</v>
      </c>
    </row>
    <row r="64" spans="1:8" x14ac:dyDescent="0.25">
      <c r="A64">
        <v>63</v>
      </c>
      <c r="B64">
        <f t="shared" si="11"/>
        <v>-43.96</v>
      </c>
      <c r="D64">
        <f>1171.5*1.2</f>
        <v>1405.8</v>
      </c>
      <c r="F64" s="2">
        <v>-1041.6847</v>
      </c>
      <c r="G64" s="2">
        <v>113914.41</v>
      </c>
      <c r="H64" s="2">
        <v>14.658764604228599</v>
      </c>
    </row>
    <row r="65" spans="1:8" x14ac:dyDescent="0.25">
      <c r="A65">
        <v>64</v>
      </c>
      <c r="B65">
        <f t="shared" si="11"/>
        <v>-43.96</v>
      </c>
      <c r="D65">
        <f>1171.5*1.3</f>
        <v>1522.95</v>
      </c>
      <c r="F65" s="2">
        <v>-1134.4346</v>
      </c>
      <c r="G65" s="2">
        <v>131369.95000000001</v>
      </c>
      <c r="H65" s="2">
        <v>15.0505311255595</v>
      </c>
    </row>
    <row r="66" spans="1:8" x14ac:dyDescent="0.25">
      <c r="A66">
        <v>65</v>
      </c>
      <c r="B66">
        <f t="shared" si="11"/>
        <v>-43.96</v>
      </c>
      <c r="D66">
        <f>1171.5*1.4</f>
        <v>1640.1</v>
      </c>
      <c r="F66" s="2">
        <v>-1233.7076999999999</v>
      </c>
      <c r="G66" s="2">
        <v>129549.52</v>
      </c>
      <c r="H66" s="2">
        <v>14.563007967206101</v>
      </c>
    </row>
    <row r="67" spans="1:8" x14ac:dyDescent="0.25">
      <c r="A67">
        <v>66</v>
      </c>
      <c r="B67">
        <f t="shared" si="11"/>
        <v>-43.96</v>
      </c>
      <c r="D67">
        <f>1171.5*1.5</f>
        <v>1757.25</v>
      </c>
      <c r="F67" s="2">
        <v>-556.59789000000001</v>
      </c>
      <c r="G67" s="2">
        <v>62434.459000000003</v>
      </c>
      <c r="H67" s="2">
        <v>12.4793122102104</v>
      </c>
    </row>
    <row r="68" spans="1:8" x14ac:dyDescent="0.25">
      <c r="A68">
        <v>67</v>
      </c>
      <c r="B68">
        <f t="shared" ref="B68:B78" si="12">-43.96*1.1</f>
        <v>-48.356000000000002</v>
      </c>
      <c r="D68">
        <f>1171.5*0.5</f>
        <v>585.75</v>
      </c>
      <c r="F68" s="2">
        <v>-621.21578999999997</v>
      </c>
      <c r="G68" s="2">
        <v>59361.146999999997</v>
      </c>
      <c r="H68" s="2">
        <v>12.478804464300801</v>
      </c>
    </row>
    <row r="69" spans="1:8" x14ac:dyDescent="0.25">
      <c r="A69">
        <v>68</v>
      </c>
      <c r="B69">
        <f t="shared" si="12"/>
        <v>-48.356000000000002</v>
      </c>
      <c r="D69">
        <f>1171.5*0.6</f>
        <v>702.9</v>
      </c>
      <c r="F69" s="2">
        <v>-689.66575</v>
      </c>
      <c r="G69" s="2">
        <v>67651.573999999993</v>
      </c>
      <c r="H69" s="2">
        <v>12.7173908552836</v>
      </c>
    </row>
    <row r="70" spans="1:8" x14ac:dyDescent="0.25">
      <c r="A70">
        <v>69</v>
      </c>
      <c r="B70">
        <f t="shared" si="12"/>
        <v>-48.356000000000002</v>
      </c>
      <c r="D70">
        <f>1171.5*0.7</f>
        <v>820.05</v>
      </c>
      <c r="F70" s="2">
        <v>-764.90224999999998</v>
      </c>
      <c r="G70" s="2">
        <v>75793.826000000001</v>
      </c>
      <c r="H70" s="2">
        <v>16.276696872005001</v>
      </c>
    </row>
    <row r="71" spans="1:8" x14ac:dyDescent="0.25">
      <c r="A71">
        <v>70</v>
      </c>
      <c r="B71">
        <f t="shared" si="12"/>
        <v>-48.356000000000002</v>
      </c>
      <c r="D71">
        <f>1171.5*0.8</f>
        <v>937.2</v>
      </c>
      <c r="F71" s="2">
        <v>-845.07901000000004</v>
      </c>
      <c r="G71" s="2">
        <v>71200.770999999993</v>
      </c>
      <c r="H71" s="2">
        <v>15.729393255502901</v>
      </c>
    </row>
    <row r="72" spans="1:8" x14ac:dyDescent="0.25">
      <c r="A72">
        <v>71</v>
      </c>
      <c r="B72">
        <f t="shared" si="12"/>
        <v>-48.356000000000002</v>
      </c>
      <c r="D72">
        <f>1171.5*0.9</f>
        <v>1054.3500000000001</v>
      </c>
      <c r="F72" s="2">
        <v>-949.52850000000001</v>
      </c>
      <c r="G72" s="2">
        <v>107203.59</v>
      </c>
      <c r="H72" s="2">
        <v>17.3602662981272</v>
      </c>
    </row>
    <row r="73" spans="1:8" x14ac:dyDescent="0.25">
      <c r="A73">
        <v>72</v>
      </c>
      <c r="B73">
        <f t="shared" si="12"/>
        <v>-48.356000000000002</v>
      </c>
      <c r="D73">
        <f>1171.5*1</f>
        <v>1171.5</v>
      </c>
      <c r="F73" s="2">
        <v>-1006.0196</v>
      </c>
      <c r="G73" s="2">
        <v>95247.585999999996</v>
      </c>
      <c r="H73" s="2">
        <v>16.4857864155097</v>
      </c>
    </row>
    <row r="74" spans="1:8" x14ac:dyDescent="0.25">
      <c r="A74">
        <v>73</v>
      </c>
      <c r="B74">
        <f t="shared" si="12"/>
        <v>-48.356000000000002</v>
      </c>
      <c r="D74">
        <f>1171.5*1.1</f>
        <v>1288.6500000000001</v>
      </c>
      <c r="F74" s="2">
        <v>-1104.2457999999999</v>
      </c>
      <c r="G74" s="2">
        <v>127481.64</v>
      </c>
      <c r="H74" s="2">
        <v>16.128976159335</v>
      </c>
    </row>
    <row r="75" spans="1:8" x14ac:dyDescent="0.25">
      <c r="A75">
        <v>74</v>
      </c>
      <c r="B75">
        <f t="shared" si="12"/>
        <v>-48.356000000000002</v>
      </c>
      <c r="D75">
        <f>1171.5*1.2</f>
        <v>1405.8</v>
      </c>
      <c r="F75" s="2">
        <v>-1149.2230999999999</v>
      </c>
      <c r="G75" s="2">
        <v>109954.09</v>
      </c>
      <c r="H75" s="2">
        <v>16.119468400077398</v>
      </c>
    </row>
    <row r="76" spans="1:8" x14ac:dyDescent="0.25">
      <c r="A76">
        <v>75</v>
      </c>
      <c r="B76">
        <f t="shared" si="12"/>
        <v>-48.356000000000002</v>
      </c>
      <c r="D76">
        <f>1171.5*1.3</f>
        <v>1522.95</v>
      </c>
      <c r="F76" s="2">
        <v>-1222.4078999999999</v>
      </c>
      <c r="G76" s="2">
        <v>129386.37</v>
      </c>
      <c r="H76" s="2">
        <v>14.593487621020801</v>
      </c>
    </row>
    <row r="77" spans="1:8" x14ac:dyDescent="0.25">
      <c r="A77">
        <v>76</v>
      </c>
      <c r="B77">
        <f t="shared" si="12"/>
        <v>-48.356000000000002</v>
      </c>
      <c r="D77">
        <f>1171.5*1.4</f>
        <v>1640.1</v>
      </c>
      <c r="F77" s="2">
        <v>-1331.4138</v>
      </c>
      <c r="G77" s="2">
        <v>149902.19</v>
      </c>
      <c r="H77" s="2">
        <v>15.654076170897101</v>
      </c>
    </row>
    <row r="78" spans="1:8" x14ac:dyDescent="0.25">
      <c r="A78">
        <v>77</v>
      </c>
      <c r="B78">
        <f t="shared" si="12"/>
        <v>-48.356000000000002</v>
      </c>
      <c r="D78">
        <f>1171.5*1.5</f>
        <v>1757.25</v>
      </c>
      <c r="F78" s="2">
        <v>-633.12141999999994</v>
      </c>
      <c r="G78" s="2">
        <v>73717.581000000006</v>
      </c>
      <c r="H78" s="2">
        <v>13.532630805289299</v>
      </c>
    </row>
    <row r="79" spans="1:8" x14ac:dyDescent="0.25">
      <c r="A79">
        <v>78</v>
      </c>
      <c r="B79">
        <f t="shared" ref="B79:B89" si="13">-43.96*1.2</f>
        <v>-52.752000000000002</v>
      </c>
      <c r="D79">
        <f>1171.5*0.5</f>
        <v>585.75</v>
      </c>
      <c r="F79" s="2">
        <v>-712.76787000000002</v>
      </c>
      <c r="G79" s="2">
        <v>76577.87</v>
      </c>
      <c r="H79" s="2">
        <v>14.1343513413993</v>
      </c>
    </row>
    <row r="80" spans="1:8" x14ac:dyDescent="0.25">
      <c r="A80">
        <v>79</v>
      </c>
      <c r="B80">
        <f t="shared" si="13"/>
        <v>-52.752000000000002</v>
      </c>
      <c r="D80">
        <f>1171.5*0.6</f>
        <v>702.9</v>
      </c>
      <c r="F80" s="2">
        <v>-785.57757000000004</v>
      </c>
      <c r="G80" s="2">
        <v>77623.664999999994</v>
      </c>
      <c r="H80" s="2">
        <v>13.578853714229201</v>
      </c>
    </row>
    <row r="81" spans="1:8" x14ac:dyDescent="0.25">
      <c r="A81">
        <v>80</v>
      </c>
      <c r="B81">
        <f t="shared" si="13"/>
        <v>-52.752000000000002</v>
      </c>
      <c r="D81">
        <f>1171.5*0.7</f>
        <v>820.05</v>
      </c>
      <c r="F81" s="2">
        <v>-847.10258999999996</v>
      </c>
      <c r="G81" s="2">
        <v>84974.907000000007</v>
      </c>
      <c r="H81" s="2">
        <v>14.734427024295901</v>
      </c>
    </row>
    <row r="82" spans="1:8" x14ac:dyDescent="0.25">
      <c r="A82">
        <v>81</v>
      </c>
      <c r="B82">
        <f t="shared" si="13"/>
        <v>-52.752000000000002</v>
      </c>
      <c r="D82">
        <f>1171.5*0.8</f>
        <v>937.2</v>
      </c>
      <c r="F82" s="2">
        <v>-939.40688</v>
      </c>
      <c r="G82" s="2">
        <v>88692.717000000004</v>
      </c>
      <c r="H82" s="2">
        <v>18.719374361579099</v>
      </c>
    </row>
    <row r="83" spans="1:8" x14ac:dyDescent="0.25">
      <c r="A83">
        <v>82</v>
      </c>
      <c r="B83">
        <f t="shared" si="13"/>
        <v>-52.752000000000002</v>
      </c>
      <c r="D83">
        <f>1171.5*0.9</f>
        <v>1054.3500000000001</v>
      </c>
      <c r="F83" s="2">
        <v>-1028.4358999999999</v>
      </c>
      <c r="G83" s="2">
        <v>88579.827000000005</v>
      </c>
      <c r="H83" s="2">
        <v>17.664318750395399</v>
      </c>
    </row>
    <row r="84" spans="1:8" x14ac:dyDescent="0.25">
      <c r="A84">
        <v>83</v>
      </c>
      <c r="B84">
        <f t="shared" si="13"/>
        <v>-52.752000000000002</v>
      </c>
      <c r="D84">
        <f>1171.5*1</f>
        <v>1171.5</v>
      </c>
      <c r="F84" s="2">
        <v>-1137.3634999999999</v>
      </c>
      <c r="G84" s="2">
        <v>126001.04</v>
      </c>
      <c r="H84" s="2">
        <v>18.933567410146601</v>
      </c>
    </row>
    <row r="85" spans="1:8" x14ac:dyDescent="0.25">
      <c r="A85">
        <v>84</v>
      </c>
      <c r="B85">
        <f t="shared" si="13"/>
        <v>-52.752000000000002</v>
      </c>
      <c r="D85">
        <f>1171.5*1.1</f>
        <v>1288.6500000000001</v>
      </c>
      <c r="F85" s="2">
        <v>-1195.6718000000001</v>
      </c>
      <c r="G85" s="2">
        <v>112981.72</v>
      </c>
      <c r="H85" s="2">
        <v>16.6597868998089</v>
      </c>
    </row>
    <row r="86" spans="1:8" x14ac:dyDescent="0.25">
      <c r="A86">
        <v>85</v>
      </c>
      <c r="B86">
        <f t="shared" si="13"/>
        <v>-52.752000000000002</v>
      </c>
      <c r="D86">
        <f>1171.5*1.2</f>
        <v>1405.8</v>
      </c>
      <c r="F86" s="2">
        <v>-1288.7822000000001</v>
      </c>
      <c r="G86" s="2">
        <v>145115.73000000001</v>
      </c>
      <c r="H86" s="2">
        <v>17.301766767779501</v>
      </c>
    </row>
    <row r="87" spans="1:8" x14ac:dyDescent="0.25">
      <c r="A87">
        <v>86</v>
      </c>
      <c r="B87">
        <f t="shared" si="13"/>
        <v>-52.752000000000002</v>
      </c>
      <c r="D87">
        <f>1171.5*1.3</f>
        <v>1522.95</v>
      </c>
      <c r="F87" s="2">
        <v>-1362.1357</v>
      </c>
      <c r="G87" s="2">
        <v>132464.97</v>
      </c>
      <c r="H87" s="2">
        <v>19.490551440790501</v>
      </c>
    </row>
    <row r="88" spans="1:8" x14ac:dyDescent="0.25">
      <c r="A88">
        <v>87</v>
      </c>
      <c r="B88">
        <f t="shared" si="13"/>
        <v>-52.752000000000002</v>
      </c>
      <c r="D88">
        <f>1171.5*1.4</f>
        <v>1640.1</v>
      </c>
      <c r="F88" s="2">
        <v>-1419.5924</v>
      </c>
      <c r="G88" s="2">
        <v>142611.43</v>
      </c>
      <c r="H88" s="2">
        <v>17.614375019378201</v>
      </c>
    </row>
    <row r="89" spans="1:8" x14ac:dyDescent="0.25">
      <c r="A89">
        <v>88</v>
      </c>
      <c r="B89">
        <f t="shared" si="13"/>
        <v>-52.752000000000002</v>
      </c>
      <c r="D89">
        <f>1171.5*1.5</f>
        <v>1757.25</v>
      </c>
      <c r="F89" s="2">
        <v>-729.29913999999997</v>
      </c>
      <c r="G89" s="2">
        <v>85901.25</v>
      </c>
      <c r="H89" s="2">
        <v>14.4899870914718</v>
      </c>
    </row>
    <row r="90" spans="1:8" x14ac:dyDescent="0.25">
      <c r="A90">
        <v>89</v>
      </c>
      <c r="B90">
        <f t="shared" ref="B90:B100" si="14">-43.96*1.3</f>
        <v>-57.148000000000003</v>
      </c>
      <c r="D90">
        <f>1171.5*0.5</f>
        <v>585.75</v>
      </c>
      <c r="F90" s="2">
        <v>-790.55943000000002</v>
      </c>
      <c r="G90" s="2">
        <v>89563.066000000006</v>
      </c>
      <c r="H90" s="2">
        <v>14.9312284032879</v>
      </c>
    </row>
    <row r="91" spans="1:8" x14ac:dyDescent="0.25">
      <c r="A91">
        <v>90</v>
      </c>
      <c r="B91">
        <f t="shared" si="14"/>
        <v>-57.148000000000003</v>
      </c>
      <c r="D91">
        <f>1171.5*0.6</f>
        <v>702.9</v>
      </c>
      <c r="F91" s="2">
        <v>-859.08981000000006</v>
      </c>
      <c r="G91" s="2">
        <v>83813.164999999994</v>
      </c>
      <c r="H91" s="2">
        <v>14.7328941316658</v>
      </c>
    </row>
    <row r="92" spans="1:8" x14ac:dyDescent="0.25">
      <c r="A92">
        <v>91</v>
      </c>
      <c r="B92">
        <f t="shared" si="14"/>
        <v>-57.148000000000003</v>
      </c>
      <c r="D92">
        <f>1171.5*0.7</f>
        <v>820.05</v>
      </c>
      <c r="F92" s="2">
        <v>-944.22906</v>
      </c>
      <c r="G92" s="2">
        <v>90104.952000000005</v>
      </c>
      <c r="H92" s="2">
        <v>14.600861285191799</v>
      </c>
    </row>
    <row r="93" spans="1:8" x14ac:dyDescent="0.25">
      <c r="A93">
        <v>92</v>
      </c>
      <c r="B93">
        <f t="shared" si="14"/>
        <v>-57.148000000000003</v>
      </c>
      <c r="D93">
        <f>1171.5*0.8</f>
        <v>937.2</v>
      </c>
      <c r="F93" s="2">
        <v>-1020.6489</v>
      </c>
      <c r="G93" s="2">
        <v>105860.09</v>
      </c>
      <c r="H93" s="2">
        <v>17.102834554711201</v>
      </c>
    </row>
    <row r="94" spans="1:8" x14ac:dyDescent="0.25">
      <c r="A94">
        <v>93</v>
      </c>
      <c r="B94">
        <f t="shared" si="14"/>
        <v>-57.148000000000003</v>
      </c>
      <c r="D94">
        <f>1171.5*0.9</f>
        <v>1054.3500000000001</v>
      </c>
      <c r="F94" s="2">
        <v>-1120.4792</v>
      </c>
      <c r="G94" s="2">
        <v>108706.62</v>
      </c>
      <c r="H94" s="2">
        <v>19.980904339939698</v>
      </c>
    </row>
    <row r="95" spans="1:8" x14ac:dyDescent="0.25">
      <c r="A95">
        <v>94</v>
      </c>
      <c r="B95">
        <f t="shared" si="14"/>
        <v>-57.148000000000003</v>
      </c>
      <c r="D95">
        <f>1171.5*1</f>
        <v>1171.5</v>
      </c>
      <c r="F95" s="2">
        <v>-1232.0351000000001</v>
      </c>
      <c r="G95" s="2">
        <v>114109.56</v>
      </c>
      <c r="H95" s="2">
        <v>19.868168226581499</v>
      </c>
    </row>
    <row r="96" spans="1:8" x14ac:dyDescent="0.25">
      <c r="A96">
        <v>95</v>
      </c>
      <c r="B96">
        <f t="shared" si="14"/>
        <v>-57.148000000000003</v>
      </c>
      <c r="D96">
        <f>1171.5*1.1</f>
        <v>1288.6500000000001</v>
      </c>
      <c r="F96" s="2">
        <v>-1342.4183</v>
      </c>
      <c r="G96" s="2">
        <v>147299.51</v>
      </c>
      <c r="H96" s="2">
        <v>20.322211146789599</v>
      </c>
    </row>
    <row r="97" spans="1:8" x14ac:dyDescent="0.25">
      <c r="A97">
        <v>96</v>
      </c>
      <c r="B97">
        <f t="shared" si="14"/>
        <v>-57.148000000000003</v>
      </c>
      <c r="D97">
        <f>1171.5*1.2</f>
        <v>1405.8</v>
      </c>
      <c r="F97" s="2">
        <v>-1413.1732999999999</v>
      </c>
      <c r="G97" s="2">
        <v>139517.14000000001</v>
      </c>
      <c r="H97" s="2">
        <v>18.027317816424599</v>
      </c>
    </row>
    <row r="98" spans="1:8" x14ac:dyDescent="0.25">
      <c r="A98">
        <v>97</v>
      </c>
      <c r="B98">
        <f t="shared" si="14"/>
        <v>-57.148000000000003</v>
      </c>
      <c r="D98">
        <f>1171.5*1.3</f>
        <v>1522.95</v>
      </c>
      <c r="F98" s="2">
        <v>-1495.4611</v>
      </c>
      <c r="G98" s="2">
        <v>171525.08</v>
      </c>
      <c r="H98" s="2">
        <v>21.3941987782047</v>
      </c>
    </row>
    <row r="99" spans="1:8" x14ac:dyDescent="0.25">
      <c r="A99">
        <v>98</v>
      </c>
      <c r="B99">
        <f t="shared" si="14"/>
        <v>-57.148000000000003</v>
      </c>
      <c r="D99">
        <f>1171.5*1.4</f>
        <v>1640.1</v>
      </c>
      <c r="F99" s="2">
        <v>-1591.4879000000001</v>
      </c>
      <c r="G99" s="2">
        <v>160380.34</v>
      </c>
      <c r="H99" s="2">
        <v>19.3272928414309</v>
      </c>
    </row>
    <row r="100" spans="1:8" x14ac:dyDescent="0.25">
      <c r="A100">
        <v>99</v>
      </c>
      <c r="B100">
        <f t="shared" si="14"/>
        <v>-57.148000000000003</v>
      </c>
      <c r="D100">
        <f>1171.5*1.5</f>
        <v>1757.25</v>
      </c>
      <c r="F100" s="2">
        <v>-810.00804000000005</v>
      </c>
      <c r="G100" s="2">
        <v>97819.91</v>
      </c>
      <c r="H100" s="2">
        <v>15.4199265743555</v>
      </c>
    </row>
    <row r="101" spans="1:8" x14ac:dyDescent="0.25">
      <c r="A101">
        <v>100</v>
      </c>
      <c r="B101">
        <f t="shared" ref="B101:B111" si="15">-43.96*1.4</f>
        <v>-61.543999999999997</v>
      </c>
      <c r="D101">
        <f>1171.5*0.5</f>
        <v>585.75</v>
      </c>
      <c r="F101" s="2">
        <v>-880.39507000000003</v>
      </c>
      <c r="G101" s="2">
        <v>100871.49</v>
      </c>
      <c r="H101" s="2">
        <v>15.808547359145299</v>
      </c>
    </row>
    <row r="102" spans="1:8" x14ac:dyDescent="0.25">
      <c r="A102">
        <v>101</v>
      </c>
      <c r="B102">
        <f t="shared" si="15"/>
        <v>-61.543999999999997</v>
      </c>
      <c r="D102">
        <f>1171.5*0.6</f>
        <v>702.9</v>
      </c>
      <c r="F102" s="2">
        <v>-967.48490000000004</v>
      </c>
      <c r="G102" s="2">
        <v>104374.48</v>
      </c>
      <c r="H102" s="2">
        <v>16.547937595422201</v>
      </c>
    </row>
    <row r="103" spans="1:8" x14ac:dyDescent="0.25">
      <c r="A103">
        <v>102</v>
      </c>
      <c r="B103">
        <f t="shared" si="15"/>
        <v>-61.543999999999997</v>
      </c>
      <c r="D103">
        <f>1171.5*0.7</f>
        <v>820.05</v>
      </c>
      <c r="F103" s="2">
        <v>-1049.8749</v>
      </c>
      <c r="G103" s="2">
        <v>102834.44</v>
      </c>
      <c r="H103" s="2">
        <v>16.3311335407674</v>
      </c>
    </row>
    <row r="104" spans="1:8" x14ac:dyDescent="0.25">
      <c r="A104">
        <v>103</v>
      </c>
      <c r="B104">
        <f t="shared" si="15"/>
        <v>-61.543999999999997</v>
      </c>
      <c r="D104">
        <f>1171.5*0.8</f>
        <v>937.2</v>
      </c>
      <c r="F104" s="2">
        <v>-1128.9224999999999</v>
      </c>
      <c r="G104" s="2">
        <v>112285.24</v>
      </c>
      <c r="H104" s="2">
        <v>16.866321947493301</v>
      </c>
    </row>
    <row r="105" spans="1:8" x14ac:dyDescent="0.25">
      <c r="A105">
        <v>104</v>
      </c>
      <c r="B105">
        <f t="shared" si="15"/>
        <v>-61.543999999999997</v>
      </c>
      <c r="D105">
        <f>1171.5*0.9</f>
        <v>1054.3500000000001</v>
      </c>
      <c r="F105" s="2">
        <v>-1218.4893999999999</v>
      </c>
      <c r="G105" s="2">
        <v>123452.6</v>
      </c>
      <c r="H105" s="2">
        <v>20.823266931658399</v>
      </c>
    </row>
    <row r="106" spans="1:8" x14ac:dyDescent="0.25">
      <c r="A106">
        <v>105</v>
      </c>
      <c r="B106">
        <f t="shared" si="15"/>
        <v>-61.543999999999997</v>
      </c>
      <c r="D106">
        <f>1171.5*1</f>
        <v>1171.5</v>
      </c>
      <c r="F106" s="2">
        <v>-1313.5364999999999</v>
      </c>
      <c r="G106" s="2">
        <v>118006.03</v>
      </c>
      <c r="H106" s="2">
        <v>20.8923709503411</v>
      </c>
    </row>
    <row r="107" spans="1:8" x14ac:dyDescent="0.25">
      <c r="A107">
        <v>106</v>
      </c>
      <c r="B107">
        <f t="shared" si="15"/>
        <v>-61.543999999999997</v>
      </c>
      <c r="D107">
        <f>1171.5*1.1</f>
        <v>1288.6500000000001</v>
      </c>
      <c r="F107" s="2">
        <v>-1452.4838</v>
      </c>
      <c r="G107" s="2">
        <v>147392.5</v>
      </c>
      <c r="H107" s="2">
        <v>21.6302005487378</v>
      </c>
    </row>
    <row r="108" spans="1:8" x14ac:dyDescent="0.25">
      <c r="A108">
        <v>107</v>
      </c>
      <c r="B108">
        <f t="shared" si="15"/>
        <v>-61.543999999999997</v>
      </c>
      <c r="D108">
        <f>1171.5*1.2</f>
        <v>1405.8</v>
      </c>
      <c r="F108" s="2">
        <v>-1534.4427000000001</v>
      </c>
      <c r="G108" s="2">
        <v>169451.05</v>
      </c>
      <c r="H108" s="2">
        <v>21.463581805911801</v>
      </c>
    </row>
    <row r="109" spans="1:8" x14ac:dyDescent="0.25">
      <c r="A109">
        <v>108</v>
      </c>
      <c r="B109">
        <f t="shared" si="15"/>
        <v>-61.543999999999997</v>
      </c>
      <c r="D109">
        <f>1171.5*1.3</f>
        <v>1522.95</v>
      </c>
      <c r="F109" s="2">
        <v>-1640.0481</v>
      </c>
      <c r="G109" s="2">
        <v>167318.97</v>
      </c>
      <c r="H109" s="2">
        <v>19.642366323847401</v>
      </c>
    </row>
    <row r="110" spans="1:8" x14ac:dyDescent="0.25">
      <c r="A110">
        <v>109</v>
      </c>
      <c r="B110">
        <f t="shared" si="15"/>
        <v>-61.543999999999997</v>
      </c>
      <c r="D110">
        <f>1171.5*1.4</f>
        <v>1640.1</v>
      </c>
      <c r="F110" s="2">
        <v>-1712.6841999999999</v>
      </c>
      <c r="G110" s="2">
        <v>194405.93</v>
      </c>
      <c r="H110" s="2">
        <v>23.580812689585201</v>
      </c>
    </row>
    <row r="111" spans="1:8" x14ac:dyDescent="0.25">
      <c r="A111">
        <v>110</v>
      </c>
      <c r="B111">
        <f t="shared" si="15"/>
        <v>-61.543999999999997</v>
      </c>
      <c r="D111">
        <f>1171.5*1.5</f>
        <v>1757.25</v>
      </c>
      <c r="F111" s="2">
        <v>-871.78130999999996</v>
      </c>
      <c r="G111" s="2">
        <v>108366.48</v>
      </c>
      <c r="H111" s="2">
        <v>18.714605983065901</v>
      </c>
    </row>
    <row r="112" spans="1:8" x14ac:dyDescent="0.25">
      <c r="A112">
        <v>111</v>
      </c>
      <c r="B112">
        <f t="shared" ref="B112:B122" si="16">-43.96*1.5</f>
        <v>-65.94</v>
      </c>
      <c r="D112">
        <f>1171.5*0.5</f>
        <v>585.75</v>
      </c>
      <c r="F112" s="2">
        <v>-987.77072999999996</v>
      </c>
      <c r="G112" s="2">
        <v>115164.01</v>
      </c>
      <c r="H112" s="2">
        <v>16.774048364526301</v>
      </c>
    </row>
    <row r="113" spans="1:8" x14ac:dyDescent="0.25">
      <c r="A113">
        <v>112</v>
      </c>
      <c r="B113">
        <f t="shared" si="16"/>
        <v>-65.94</v>
      </c>
      <c r="D113">
        <f>1171.5*0.6</f>
        <v>702.9</v>
      </c>
      <c r="F113" s="2">
        <v>-1061.5920000000001</v>
      </c>
      <c r="G113" s="2">
        <v>117997.75999999999</v>
      </c>
      <c r="H113" s="2">
        <v>17.3146891330464</v>
      </c>
    </row>
    <row r="114" spans="1:8" x14ac:dyDescent="0.25">
      <c r="A114">
        <v>113</v>
      </c>
      <c r="B114">
        <f t="shared" si="16"/>
        <v>-65.94</v>
      </c>
      <c r="D114">
        <f>1171.5*0.7</f>
        <v>820.05</v>
      </c>
      <c r="F114" s="2">
        <v>-1133.9848</v>
      </c>
      <c r="G114" s="2">
        <v>112588.87</v>
      </c>
      <c r="H114" s="2">
        <v>16.984950805771799</v>
      </c>
    </row>
    <row r="115" spans="1:8" x14ac:dyDescent="0.25">
      <c r="A115">
        <v>114</v>
      </c>
      <c r="B115">
        <f t="shared" si="16"/>
        <v>-65.94</v>
      </c>
      <c r="D115">
        <f>1171.5*0.8</f>
        <v>937.2</v>
      </c>
      <c r="F115" s="2">
        <v>-1244.7168999999999</v>
      </c>
      <c r="G115" s="2">
        <v>121126.68</v>
      </c>
      <c r="H115" s="2">
        <v>17.4325599457576</v>
      </c>
    </row>
    <row r="116" spans="1:8" x14ac:dyDescent="0.25">
      <c r="A116">
        <v>115</v>
      </c>
      <c r="B116">
        <f t="shared" si="16"/>
        <v>-65.94</v>
      </c>
      <c r="D116">
        <f>1171.5*0.9</f>
        <v>1054.3500000000001</v>
      </c>
      <c r="F116" s="2">
        <v>-1323.9109000000001</v>
      </c>
      <c r="G116" s="2">
        <v>134158.39000000001</v>
      </c>
      <c r="H116" s="2">
        <v>18.371802175446899</v>
      </c>
    </row>
    <row r="117" spans="1:8" x14ac:dyDescent="0.25">
      <c r="A117">
        <v>116</v>
      </c>
      <c r="B117">
        <f t="shared" si="16"/>
        <v>-65.94</v>
      </c>
      <c r="D117">
        <f>1171.5*1</f>
        <v>1171.5</v>
      </c>
      <c r="F117" s="2">
        <v>-1451.3842999999999</v>
      </c>
      <c r="G117" s="2">
        <v>144832.88</v>
      </c>
      <c r="H117" s="2">
        <v>24.4346966999248</v>
      </c>
    </row>
    <row r="118" spans="1:8" x14ac:dyDescent="0.25">
      <c r="A118">
        <v>117</v>
      </c>
      <c r="B118">
        <f t="shared" si="16"/>
        <v>-65.94</v>
      </c>
      <c r="D118">
        <f>1171.5*1.1</f>
        <v>1288.6500000000001</v>
      </c>
      <c r="F118" s="2">
        <v>-1538.6025</v>
      </c>
      <c r="G118" s="2">
        <v>135420.01</v>
      </c>
      <c r="H118" s="2">
        <v>21.832128945391901</v>
      </c>
    </row>
    <row r="119" spans="1:8" x14ac:dyDescent="0.25">
      <c r="A119">
        <v>118</v>
      </c>
      <c r="B119">
        <f t="shared" si="16"/>
        <v>-65.94</v>
      </c>
      <c r="D119">
        <f>1171.5*1.2</f>
        <v>1405.8</v>
      </c>
      <c r="F119" s="2">
        <v>-1706.7983999999999</v>
      </c>
      <c r="G119" s="2">
        <v>180753.08</v>
      </c>
      <c r="H119" s="2">
        <v>22.6344465231115</v>
      </c>
    </row>
    <row r="120" spans="1:8" x14ac:dyDescent="0.25">
      <c r="A120">
        <v>119</v>
      </c>
      <c r="B120">
        <f t="shared" si="16"/>
        <v>-65.94</v>
      </c>
      <c r="D120">
        <f>1171.5*1.3</f>
        <v>1522.95</v>
      </c>
      <c r="F120" s="2">
        <v>-1763.6004</v>
      </c>
      <c r="G120" s="2">
        <v>181912.35</v>
      </c>
      <c r="H120" s="2">
        <v>22.821806815827198</v>
      </c>
    </row>
    <row r="121" spans="1:8" x14ac:dyDescent="0.25">
      <c r="A121">
        <v>120</v>
      </c>
      <c r="B121">
        <f t="shared" si="16"/>
        <v>-65.94</v>
      </c>
      <c r="D121">
        <f>1171.5*1.4</f>
        <v>1640.1</v>
      </c>
      <c r="F121" s="2">
        <v>-1870.6484</v>
      </c>
      <c r="G121" s="2">
        <v>203174.77</v>
      </c>
      <c r="H121" s="2">
        <v>21.563827635492402</v>
      </c>
    </row>
    <row r="122" spans="1:8" x14ac:dyDescent="0.25">
      <c r="A122">
        <v>121</v>
      </c>
      <c r="B122">
        <f t="shared" si="16"/>
        <v>-65.94</v>
      </c>
      <c r="D122">
        <f>1171.5*1.5</f>
        <v>1757.25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王子铭</cp:lastModifiedBy>
  <dcterms:created xsi:type="dcterms:W3CDTF">2024-01-17T15:31:21Z</dcterms:created>
  <dcterms:modified xsi:type="dcterms:W3CDTF">2024-02-25T13:30:38Z</dcterms:modified>
</cp:coreProperties>
</file>